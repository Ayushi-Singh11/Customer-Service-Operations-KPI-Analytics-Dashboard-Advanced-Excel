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C:\Users\hp\Downloads\Customer Service Operations &amp; KPI Analytics Project\"/>
    </mc:Choice>
  </mc:AlternateContent>
  <xr:revisionPtr revIDLastSave="0" documentId="13_ncr:1_{95661B78-438E-432A-85B3-9D06CF2E7169}" xr6:coauthVersionLast="47" xr6:coauthVersionMax="47" xr10:uidLastSave="{00000000-0000-0000-0000-000000000000}"/>
  <bookViews>
    <workbookView xWindow="-108" yWindow="-108" windowWidth="23256" windowHeight="12456" firstSheet="2" activeTab="2" xr2:uid="{26D4546B-D2A1-4444-8EAF-A6228F96F0C1}"/>
  </bookViews>
  <sheets>
    <sheet name="Data" sheetId="2" state="hidden" r:id="rId1"/>
    <sheet name="Assets" sheetId="4" state="hidden" r:id="rId2"/>
    <sheet name="customer centre report" sheetId="5" r:id="rId3"/>
    <sheet name="PIVOT" sheetId="6" state="hidden"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47" r:id="rId9"/>
    <pivotCache cacheId="150" r:id="rId10"/>
    <pivotCache cacheId="153" r:id="rId11"/>
    <pivotCache cacheId="156" r:id="rId12"/>
    <pivotCache cacheId="15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Q16" i="5" l="1"/>
  <c r="Q17" i="5"/>
  <c r="Q18" i="5"/>
  <c r="Q14" i="5"/>
  <c r="Q15" i="5"/>
  <c r="R15" i="5"/>
  <c r="S15" i="5"/>
  <c r="T15" i="5"/>
  <c r="U15" i="5"/>
  <c r="V15" i="5"/>
  <c r="W15" i="5"/>
  <c r="R16" i="5"/>
  <c r="S16" i="5"/>
  <c r="T16" i="5"/>
  <c r="U16" i="5"/>
  <c r="V16" i="5"/>
  <c r="W16" i="5"/>
  <c r="R17" i="5"/>
  <c r="S17" i="5"/>
  <c r="T17" i="5"/>
  <c r="U17" i="5"/>
  <c r="V17" i="5"/>
  <c r="W17" i="5"/>
  <c r="R18" i="5"/>
  <c r="S18" i="5"/>
  <c r="T18" i="5"/>
  <c r="U18" i="5"/>
  <c r="V18" i="5"/>
  <c r="W18" i="5"/>
  <c r="Q19" i="5"/>
  <c r="Q20" i="5"/>
  <c r="R20" i="5"/>
  <c r="S20" i="5"/>
  <c r="T20" i="5"/>
  <c r="U20" i="5"/>
  <c r="V20" i="5"/>
  <c r="W20" i="5"/>
  <c r="Q21" i="5"/>
  <c r="R21" i="5"/>
  <c r="S21" i="5"/>
  <c r="T21" i="5"/>
  <c r="U21" i="5"/>
  <c r="V21" i="5"/>
  <c r="W21" i="5"/>
  <c r="Q22" i="5"/>
  <c r="R22" i="5"/>
  <c r="S22" i="5"/>
  <c r="T22" i="5"/>
  <c r="U22" i="5"/>
  <c r="V22" i="5"/>
  <c r="W22" i="5"/>
  <c r="Q23" i="5"/>
  <c r="R23" i="5"/>
  <c r="S23" i="5"/>
  <c r="T23" i="5"/>
  <c r="U23" i="5"/>
  <c r="V23" i="5"/>
  <c r="W23" i="5"/>
  <c r="Q24" i="5"/>
  <c r="R24" i="5"/>
  <c r="S24" i="5"/>
  <c r="T24" i="5"/>
  <c r="U24" i="5"/>
  <c r="V24" i="5"/>
  <c r="W24" i="5"/>
  <c r="Q25" i="5"/>
  <c r="R25" i="5"/>
  <c r="S25" i="5"/>
  <c r="T25" i="5"/>
  <c r="U25" i="5"/>
  <c r="V25" i="5"/>
  <c r="W25" i="5"/>
  <c r="Q26" i="5"/>
  <c r="Q27" i="5"/>
  <c r="R27" i="5"/>
  <c r="S27" i="5"/>
  <c r="T27" i="5"/>
  <c r="U27" i="5"/>
  <c r="V27" i="5"/>
  <c r="W27" i="5"/>
  <c r="Q28" i="5"/>
  <c r="R28" i="5"/>
  <c r="S28" i="5"/>
  <c r="T28" i="5"/>
  <c r="U28" i="5"/>
  <c r="V28" i="5"/>
  <c r="W28" i="5"/>
  <c r="Q29" i="5"/>
  <c r="R29" i="5"/>
  <c r="S29" i="5"/>
  <c r="T29" i="5"/>
  <c r="U29" i="5"/>
  <c r="V29" i="5"/>
  <c r="W29" i="5"/>
  <c r="Q30" i="5"/>
  <c r="R30" i="5"/>
  <c r="S30" i="5"/>
  <c r="T30" i="5"/>
  <c r="U30" i="5"/>
  <c r="V30" i="5"/>
  <c r="W30" i="5"/>
  <c r="Q31" i="5"/>
  <c r="R31" i="5"/>
  <c r="S31" i="5"/>
  <c r="T31" i="5"/>
  <c r="U31" i="5"/>
  <c r="V31" i="5"/>
  <c r="W31" i="5"/>
  <c r="I27" i="6"/>
  <c r="I31" i="6" s="1"/>
  <c r="F30" i="6"/>
  <c r="G30" i="6"/>
  <c r="F31" i="6"/>
  <c r="G31" i="6"/>
  <c r="F32" i="6"/>
  <c r="G32" i="6"/>
  <c r="F33" i="6"/>
  <c r="G33" i="6"/>
  <c r="F34" i="6"/>
  <c r="G34" i="6"/>
  <c r="E31" i="6"/>
  <c r="E32" i="6"/>
  <c r="E33" i="6"/>
  <c r="E34" i="6"/>
  <c r="E30"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33" i="6" l="1"/>
  <c r="H32" i="6"/>
  <c r="H31" i="6"/>
  <c r="I30" i="6"/>
  <c r="I34" i="6"/>
  <c r="I33" i="6"/>
  <c r="H30" i="6"/>
  <c r="I32" i="6"/>
  <c r="H3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9AC8E4-7C45-454E-9C03-D3F641168E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706D20D-A6EA-49DE-BD59-C966B28CF69D}"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49234FDC-16A0-4318-A30B-5E4C70B5EE2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<sst xmlns="http://schemas.openxmlformats.org/spreadsheetml/2006/main" count="3221" uniqueCount="1129">
  <si>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</si>
  <si>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</si>
  <si>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</si>
  <si>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</si>
  <si>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</si>
  <si>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</si>
  <si>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</si>
  <si>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</si>
  <si>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</si>
  <si>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</si>
  <si>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</si>
  <si>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</si>
  <si>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</si>
  <si>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</si>
  <si>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</si>
  <si>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</si>
  <si>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</si>
  <si>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</si>
  <si>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</si>
  <si>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</si>
  <si>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</si>
  <si>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</si>
  <si>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</si>
  <si>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</si>
  <si>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</si>
  <si>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</si>
  <si>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</si>
  <si>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</si>
  <si>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</si>
  <si>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</si>
  <si>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</si>
  <si>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</si>
  <si>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</si>
  <si>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</si>
  <si>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</si>
  <si>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</si>
  <si>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</si>
  <si>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</si>
  <si>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</si>
  <si>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</si>
  <si>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</si>
  <si>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</si>
  <si>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</si>
  <si>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</si>
  <si>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</si>
  <si>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</si>
  <si>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</si>
  <si>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</si>
  <si>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</si>
  <si>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</si>
  <si>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</si>
  <si>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</si>
  <si>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</si>
  <si>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</si>
  <si>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</si>
  <si>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</si>
  <si>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</si>
  <si>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</si>
  <si>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</si>
  <si>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</si>
  <si>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</si>
  <si>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</si>
  <si>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</si>
  <si>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</si>
  <si>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</si>
  <si>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</si>
  <si>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</si>
  <si>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</si>
  <si>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</si>
  <si>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</si>
  <si>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</si>
  <si>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</si>
  <si>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</si>
  <si>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</si>
  <si>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</si>
  <si>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</si>
  <si>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</si>
  <si>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</si>
  <si>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</si>
  <si>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</si>
  <si>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</si>
  <si>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</si>
  <si>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</si>
  <si>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</si>
  <si>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</si>
  <si>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</si>
  <si>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</si>
  <si>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</si>
  <si>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</si>
  <si>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</si>
  <si>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</si>
  <si>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</si>
  <si>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</si>
  <si>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</si>
  <si>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</si>
  <si>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</si>
  <si>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</si>
  <si>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</si>
  <si>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</si>
  <si>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</si>
  <si>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</si>
  <si>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</si>
  <si>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</si>
  <si>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</si>
  <si>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</si>
  <si>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</si>
  <si>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</si>
  <si>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</si>
  <si>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</si>
  <si>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</si>
  <si>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</si>
  <si>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</si>
  <si>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</si>
  <si>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</si>
  <si>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</si>
  <si>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</si>
  <si>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</si>
  <si>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</si>
  <si>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</si>
  <si>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</si>
  <si>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</si>
  <si>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</si>
  <si>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</si>
  <si>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</si>
  <si>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</si>
  <si>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</si>
  <si>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</si>
  <si>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</si>
  <si>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</si>
  <si>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</si>
  <si>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</si>
  <si>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</si>
  <si>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</si>
  <si>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</si>
  <si>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</si>
  <si>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</si>
  <si>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</si>
  <si>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</si>
  <si>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</si>
  <si>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</si>
  <si>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</si>
  <si>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</si>
  <si>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</si>
  <si>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</si>
  <si>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</si>
  <si>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</si>
  <si>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</si>
  <si>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</si>
  <si>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</si>
  <si>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</si>
  <si>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</si>
  <si>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</si>
  <si>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</si>
  <si>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</si>
  <si>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</si>
  <si>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</si>
  <si>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</si>
  <si>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</si>
  <si>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</si>
  <si>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</si>
  <si>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</si>
  <si>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</si>
  <si>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</si>
  <si>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</si>
  <si>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</si>
  <si>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</si>
  <si>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</si>
  <si>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</si>
  <si>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</si>
  <si>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</si>
  <si>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</si>
  <si>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</si>
  <si>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</si>
  <si>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</si>
  <si>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</si>
  <si>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</si>
  <si>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</si>
  <si>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</si>
  <si>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</si>
  <si>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</si>
  <si>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</si>
  <si>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</si>
  <si>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</si>
  <si>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</si>
  <si>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</si>
  <si>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</si>
  <si>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</si>
  <si>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</si>
  <si>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</si>
  <si>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</si>
  <si>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</si>
  <si>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</si>
  <si>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</si>
  <si>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</si>
  <si>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</si>
  <si>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</si>
  <si>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</si>
  <si>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</si>
  <si>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</si>
  <si>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</si>
  <si>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</si>
  <si>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</si>
  <si>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</si>
  <si>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</si>
  <si>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</si>
  <si>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</si>
  <si>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</si>
  <si>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</si>
  <si>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</si>
  <si>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</si>
  <si>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</si>
  <si>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</si>
  <si>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</si>
  <si>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</si>
  <si>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</si>
  <si>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</si>
  <si>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</si>
  <si>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</si>
  <si>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</si>
  <si>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</si>
  <si>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</si>
  <si>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</si>
  <si>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</si>
  <si>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</si>
  <si>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</si>
  <si>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</si>
  <si>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</si>
  <si>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</si>
  <si>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</si>
  <si>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</si>
  <si>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</si>
  <si>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</si>
  <si>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</si>
  <si>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</si>
  <si>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</si>
  <si>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</si>
  <si>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</si>
  <si>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</si>
  <si>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</si>
  <si>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</si>
  <si>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</si>
  <si>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</si>
  <si>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</si>
  <si>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</si>
  <si>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</si>
  <si>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</si>
  <si>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</si>
  <si>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</si>
  <si>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</si>
  <si>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</si>
  <si>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</si>
  <si>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</si>
  <si>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</si>
  <si>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</si>
  <si>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</si>
  <si>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</si>
  <si>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</si>
  <si>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</si>
  <si>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</si>
  <si>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</si>
  <si>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</si>
  <si>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</si>
  <si>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</si>
  <si>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</si>
  <si>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</si>
  <si>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</si>
  <si>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</si>
  <si>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</si>
  <si>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</si>
  <si>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</si>
  <si>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</si>
  <si>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</si>
  <si>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</si>
  <si>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</si>
  <si>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</si>
  <si>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</si>
  <si>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</si>
  <si>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</si>
  <si>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</si>
  <si>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</si>
  <si>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</si>
  <si>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</si>
  <si>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</si>
  <si>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</si>
  <si>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</si>
  <si>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</si>
  <si>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</si>
  <si>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</si>
  <si>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</si>
  <si>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</si>
  <si>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</si>
  <si>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</si>
  <si>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</si>
  <si>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</si>
  <si>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</si>
  <si>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</si>
  <si>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</si>
  <si>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</si>
  <si>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</si>
  <si>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</si>
  <si>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</si>
  <si>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</si>
  <si>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</si>
  <si>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</si>
  <si>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</si>
  <si>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</si>
  <si>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</si>
  <si>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</si>
  <si>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</si>
  <si>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</si>
  <si>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</si>
  <si>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</si>
  <si>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</si>
  <si>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</si>
  <si>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</si>
  <si>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</si>
  <si>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</si>
  <si>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</si>
  <si>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</si>
  <si>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</si>
  <si>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</si>
  <si>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</si>
  <si>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</si>
  <si>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</si>
  <si>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</si>
  <si>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</si>
  <si>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</si>
  <si>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</si>
  <si>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</si>
  <si>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</si>
  <si>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</si>
  <si>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</si>
  <si>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</si>
  <si>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</si>
  <si>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</si>
  <si>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</si>
  <si>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</si>
  <si>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</si>
  <si>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</si>
  <si>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</si>
  <si>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</si>
  <si>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</si>
  <si>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</si>
  <si>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</si>
  <si>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</si>
  <si>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</si>
  <si>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</si>
  <si>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</si>
  <si>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</si>
  <si>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</si>
  <si>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</si>
  <si>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</si>
  <si>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</si>
  <si>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</si>
  <si>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</si>
  <si>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</si>
  <si>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</si>
  <si>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</si>
  <si>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</si>
  <si>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</si>
  <si>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</si>
  <si>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</si>
  <si>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</si>
  <si>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</si>
  <si>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</si>
  <si>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</si>
  <si>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</si>
  <si>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</si>
  <si>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</si>
  <si>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</si>
  <si>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</si>
  <si>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</si>
  <si>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</si>
  <si>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</si>
  <si>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</si>
  <si>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</si>
  <si>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</si>
  <si>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</si>
  <si>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</si>
  <si>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</si>
  <si>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</si>
  <si>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</si>
  <si>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</si>
  <si>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</si>
  <si>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</si>
  <si>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</si>
  <si>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</si>
  <si>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</si>
  <si>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</si>
  <si>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</si>
  <si>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</si>
  <si>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</si>
  <si>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</si>
  <si>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</si>
  <si>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</si>
  <si>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</si>
  <si>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</si>
  <si>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</si>
  <si>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</si>
  <si>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</si>
  <si>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</si>
  <si>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</si>
  <si>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</si>
  <si>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</si>
  <si>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</si>
  <si>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</si>
  <si>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</si>
  <si>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</si>
  <si>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</si>
  <si>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</si>
  <si>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</si>
  <si>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</si>
  <si>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</si>
  <si>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</si>
  <si>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</si>
  <si>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</si>
  <si>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</si>
  <si>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</si>
  <si>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</si>
  <si>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</si>
  <si>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</si>
  <si>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</si>
  <si>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</si>
  <si>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</si>
  <si>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</si>
  <si>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</si>
  <si>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</si>
  <si>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</si>
  <si>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</si>
  <si>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</si>
  <si>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</si>
  <si>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</si>
  <si>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</si>
  <si>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</si>
  <si>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</si>
  <si>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</si>
  <si>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</si>
  <si>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</si>
  <si>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</si>
  <si>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</si>
  <si>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</si>
  <si>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</si>
  <si>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</si>
  <si>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</si>
  <si>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</si>
  <si>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</si>
  <si>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</si>
  <si>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</si>
  <si>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</si>
  <si>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</si>
  <si>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</si>
  <si>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</si>
  <si>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</si>
  <si>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</si>
  <si>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</si>
  <si>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</si>
  <si>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</si>
  <si>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</si>
  <si>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</si>
  <si>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</si>
  <si>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</si>
  <si>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</si>
  <si>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</si>
  <si>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</si>
  <si>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</si>
  <si>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</si>
  <si>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</si>
  <si>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</si>
  <si>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</si>
  <si>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</si>
  <si>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</si>
  <si>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</si>
  <si>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</si>
  <si>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</si>
  <si>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</si>
  <si>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</si>
  <si>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</si>
  <si>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</si>
  <si>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</si>
  <si>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</si>
  <si>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</si>
  <si>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</si>
  <si>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</si>
  <si>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</si>
  <si>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</si>
  <si>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</si>
  <si>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</si>
  <si>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</si>
  <si>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</si>
  <si>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</si>
  <si>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</si>
  <si>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</si>
  <si>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</si>
  <si>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</si>
  <si>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</si>
  <si>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</si>
  <si>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</si>
  <si>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</si>
  <si>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</si>
  <si>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</si>
  <si>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</si>
  <si>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</si>
  <si>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</si>
  <si>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</si>
  <si>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</si>
  <si>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</si>
  <si>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</si>
  <si>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</si>
  <si>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</si>
  <si>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</si>
  <si>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</si>
  <si>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</si>
  <si>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</si>
  <si>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</si>
  <si>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</si>
  <si>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</si>
  <si>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</si>
  <si>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</si>
  <si>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</si>
  <si>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</si>
  <si>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</si>
  <si>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</si>
  <si>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</si>
  <si>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</si>
  <si>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</si>
  <si>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</si>
  <si>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</si>
  <si>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</si>
  <si>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</si>
  <si>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</si>
  <si>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</si>
  <si>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</si>
  <si>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</si>
  <si>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</si>
  <si>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</si>
  <si>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</si>
  <si>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</si>
  <si>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</si>
  <si>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</si>
  <si>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</si>
  <si>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</si>
  <si>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</si>
  <si>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</si>
  <si>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</si>
  <si>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</si>
  <si>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</si>
  <si>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</si>
  <si>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</si>
  <si>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</si>
  <si>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</si>
  <si>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</si>
  <si>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</si>
  <si>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</si>
  <si>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</si>
  <si>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</si>
  <si>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</si>
  <si>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</si>
  <si>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</si>
  <si>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</si>
  <si>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</si>
  <si>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</si>
  <si>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</si>
  <si>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</si>
  <si>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</si>
  <si>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</si>
  <si>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</si>
  <si>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</si>
  <si>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</si>
  <si>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</si>
  <si>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</si>
  <si>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</si>
  <si>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</si>
  <si>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</si>
  <si>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</si>
  <si>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</si>
  <si>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</si>
  <si>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</si>
  <si>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</si>
  <si>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</si>
  <si>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</si>
  <si>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</si>
  <si>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</si>
  <si>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</si>
  <si>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</si>
  <si>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</si>
  <si>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</si>
  <si>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</si>
  <si>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</si>
  <si>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</si>
  <si>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</si>
  <si>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</si>
  <si>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</si>
  <si>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</si>
  <si>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</si>
  <si>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</si>
  <si>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</si>
  <si>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</si>
  <si>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</si>
  <si>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</si>
  <si>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</si>
  <si>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</si>
  <si>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</si>
  <si>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</si>
  <si>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</si>
  <si>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</si>
  <si>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</si>
  <si>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</si>
  <si>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</si>
  <si>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</si>
  <si>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</si>
  <si>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</si>
  <si>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</si>
  <si>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</si>
  <si>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</si>
  <si>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</si>
  <si>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</si>
  <si>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</si>
  <si>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</si>
  <si>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</si>
  <si>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</si>
  <si>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</si>
  <si>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</si>
  <si>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</si>
  <si>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</si>
  <si>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</si>
  <si>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</si>
  <si>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</si>
  <si>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</si>
  <si>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</si>
  <si>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</si>
  <si>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</si>
  <si>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</si>
  <si>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</si>
  <si>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</si>
  <si>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</si>
  <si>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</si>
  <si>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</si>
  <si>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</si>
  <si>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</si>
  <si>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</si>
  <si>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</si>
  <si>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</si>
  <si>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</si>
  <si>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</si>
  <si>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</si>
  <si>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</si>
  <si>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</si>
  <si>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</si>
  <si>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</si>
  <si>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</si>
  <si>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</si>
  <si>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</si>
  <si>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</si>
  <si>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</si>
  <si>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</si>
  <si>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</si>
  <si>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</si>
  <si>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</si>
  <si>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</si>
  <si>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</si>
  <si>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</si>
  <si>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</si>
  <si>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</si>
  <si>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</si>
  <si>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</si>
  <si>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</si>
  <si>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</si>
  <si>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</si>
  <si>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</si>
  <si>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</si>
  <si>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</si>
  <si>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</si>
  <si>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</si>
  <si>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</si>
  <si>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</si>
  <si>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</si>
  <si>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</si>
  <si>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</si>
  <si>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</si>
  <si>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</si>
  <si>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</si>
  <si>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</si>
  <si>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</si>
  <si>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</si>
  <si>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</si>
  <si>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</si>
  <si>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</si>
  <si>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</si>
  <si>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</si>
  <si>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</si>
  <si>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</si>
  <si>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</si>
  <si>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</si>
  <si>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</si>
  <si>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</si>
  <si>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</si>
  <si>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</si>
  <si>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</si>
  <si>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</si>
  <si>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</si>
  <si>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</si>
  <si>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</si>
  <si>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</si>
  <si>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</si>
  <si>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</si>
  <si>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</si>
  <si>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</si>
  <si>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</si>
  <si>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</si>
  <si>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</si>
  <si>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</si>
  <si>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</si>
  <si>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</si>
  <si>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</si>
  <si>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</si>
  <si>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</si>
  <si>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</si>
  <si>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</si>
  <si>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</si>
  <si>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</si>
  <si>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</si>
  <si>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</si>
  <si>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</si>
  <si>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</si>
  <si>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</si>
  <si>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</si>
  <si>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</si>
  <si>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</si>
  <si>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</si>
  <si>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</si>
  <si>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</si>
  <si>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</si>
  <si>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</si>
  <si>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</si>
  <si>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</si>
  <si>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</si>
  <si>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</si>
  <si>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</si>
  <si>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</si>
  <si>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</si>
  <si>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</si>
  <si>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</si>
  <si>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</si>
  <si>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</si>
  <si>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</si>
  <si>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</si>
  <si>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</si>
  <si>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</si>
  <si>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</si>
  <si>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</si>
  <si>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</si>
  <si>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</si>
  <si>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</si>
  <si>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</si>
  <si>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</si>
  <si>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</si>
  <si>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</si>
  <si>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</si>
  <si>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</si>
  <si>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</si>
  <si>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</si>
  <si>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</si>
  <si>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</si>
  <si>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</si>
  <si>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</si>
  <si>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</si>
  <si>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</si>
  <si>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</si>
  <si>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</si>
  <si>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</si>
  <si>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</si>
  <si>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</si>
  <si>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</si>
  <si>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</si>
  <si>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</si>
  <si>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</si>
  <si>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</si>
  <si>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</si>
  <si>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</si>
  <si>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</si>
  <si>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</si>
  <si>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</si>
  <si>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</si>
  <si>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</si>
  <si>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</si>
  <si>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</si>
  <si>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</si>
  <si>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</si>
  <si>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</si>
  <si>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</si>
  <si>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</si>
  <si>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</si>
  <si>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</si>
  <si>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</si>
  <si>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</si>
  <si>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</si>
  <si>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</si>
  <si>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</si>
  <si>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</si>
  <si>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</si>
  <si>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</si>
  <si>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</si>
  <si>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</si>
  <si>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</si>
  <si>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</si>
  <si>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</si>
  <si>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</si>
  <si>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</si>
  <si>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</si>
  <si>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</si>
  <si>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</si>
  <si>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</si>
  <si>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</si>
  <si>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</si>
  <si>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</si>
  <si>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</si>
  <si>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</si>
  <si>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</si>
  <si>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</si>
  <si>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</si>
  <si>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</si>
  <si>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</si>
  <si>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</si>
  <si>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</si>
  <si>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</si>
  <si>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</si>
  <si>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</si>
  <si>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</si>
  <si>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</si>
  <si>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</si>
  <si>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</si>
  <si>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</si>
  <si>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</si>
  <si>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</si>
  <si>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</si>
  <si>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</si>
  <si>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</si>
  <si>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</si>
  <si>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</si>
  <si>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</si>
  <si>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</si>
  <si>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</si>
  <si>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</si>
  <si>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</si>
  <si>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</si>
  <si>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</si>
  <si>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</si>
  <si>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</si>
  <si>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</si>
  <si>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</si>
  <si>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</si>
  <si>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</si>
  <si>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</si>
  <si>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</si>
  <si>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</si>
  <si>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</si>
  <si>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</si>
  <si>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</si>
  <si>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</si>
  <si>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</si>
  <si>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</si>
  <si>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</si>
  <si>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</si>
  <si>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</si>
  <si>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</si>
  <si>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</si>
  <si>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</si>
  <si>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</si>
  <si>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</si>
  <si>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</si>
  <si>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</si>
  <si>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</si>
  <si>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</si>
  <si>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</si>
  <si>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</si>
  <si>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</si>
  <si>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</si>
  <si>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</si>
  <si>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</si>
  <si>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</si>
  <si>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</si>
  <si>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</si>
  <si>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</si>
  <si>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</si>
  <si>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</si>
  <si>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</si>
  <si>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</si>
  <si>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</si>
  <si>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</si>
  <si>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</si>
  <si>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</si>
  <si>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</si>
  <si>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</si>
  <si>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</si>
  <si>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</si>
  <si>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</si>
  <si>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</si>
  <si>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</si>
  <si>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</si>
  <si>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</si>
  <si>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</si>
  <si>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</si>
  <si>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</si>
  <si>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</si>
  <si>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</si>
  <si>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</si>
  <si>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</si>
  <si>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</si>
  <si>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</si>
  <si>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</si>
  <si>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</si>
  <si>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</si>
  <si>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</si>
  <si>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</si>
  <si>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</si>
  <si>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</si>
  <si>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</si>
  <si>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</si>
  <si>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</si>
  <si>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</si>
  <si>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</si>
  <si>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</si>
  <si>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</si>
  <si>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</si>
  <si>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</si>
  <si>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</si>
  <si>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</si>
  <si>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</si>
  <si>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</si>
  <si>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</si>
  <si>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</si>
  <si>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</si>
  <si>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</si>
  <si>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</si>
  <si>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</si>
  <si>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</si>
  <si>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</si>
  <si>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</si>
  <si>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</si>
  <si>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</si>
  <si>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</si>
  <si>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</si>
  <si>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</si>
  <si>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</si>
  <si>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</si>
  <si>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</si>
  <si>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</si>
  <si>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</si>
  <si>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</si>
  <si>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</si>
  <si>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</si>
  <si>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</si>
  <si>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</si>
  <si>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</si>
  <si>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</si>
  <si>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</si>
  <si>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</si>
  <si>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</si>
  <si>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</si>
  <si>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</si>
  <si>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</si>
  <si>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</si>
  <si>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</si>
  <si>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</si>
  <si>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</si>
  <si>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</si>
  <si>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</si>
  <si>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</si>
  <si>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</si>
  <si>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</si>
  <si>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</si>
  <si>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</si>
  <si>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</si>
  <si>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</si>
  <si>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</si>
  <si>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</si>
  <si>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</si>
  <si>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</si>
  <si>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</si>
  <si>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</si>
  <si>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</si>
  <si>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</si>
  <si>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</si>
  <si>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</si>
  <si>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</si>
  <si>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</si>
  <si>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</si>
  <si>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</si>
  <si>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</si>
  <si>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</si>
  <si>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</si>
  <si>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</si>
  <si>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</si>
  <si>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</si>
  <si>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</si>
  <si>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</si>
  <si>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</si>
  <si>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</si>
  <si>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</si>
  <si>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</si>
  <si>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</si>
  <si>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</si>
  <si>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</si>
  <si>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</si>
  <si>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</si>
  <si>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</si>
  <si>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</si>
  <si>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</si>
  <si>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</si>
  <si>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</si>
  <si>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</si>
  <si>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</si>
  <si>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</si>
  <si>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</si>
  <si>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</si>
  <si>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</si>
  <si>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</si>
  <si>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</si>
  <si>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</si>
  <si>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</si>
  <si>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</si>
  <si>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</si>
  <si>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</si>
  <si>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</si>
  <si>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</si>
  <si>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</si>
  <si>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</si>
  <si>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</si>
  <si>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</si>
  <si>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</si>
  <si>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</si>
  <si>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</si>
  <si>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</si>
  <si>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</si>
  <si>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</si>
  <si>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</si>
  <si>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</si>
  <si>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</si>
  <si>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</si>
  <si>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</si>
  <si>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</si>
  <si>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Step-1</t>
  </si>
  <si>
    <t>Set up the dshboard page and Theme</t>
  </si>
  <si>
    <t>Step-2</t>
  </si>
  <si>
    <t>Report generation building Pivots for the KIPs</t>
  </si>
  <si>
    <t>Step-3</t>
  </si>
  <si>
    <t>Creating the data model</t>
  </si>
  <si>
    <t>For this we need to combine the calls table with the customer table using pivot able</t>
  </si>
  <si>
    <t>Go to the pivot analyse ribbon and set up relation between both by using the Customer ID option</t>
  </si>
  <si>
    <t>Step-4</t>
  </si>
  <si>
    <t>Using DAX Measures</t>
  </si>
  <si>
    <t>Go to the Calls table icon in pivot and choose add measures</t>
  </si>
  <si>
    <t>Use DAX(Data Analyses Expressions) syntax i.e COUNTROWS(CALLS)</t>
  </si>
  <si>
    <t>Call Count</t>
  </si>
  <si>
    <t>This will give total calls in numbers</t>
  </si>
  <si>
    <t>Step-5</t>
  </si>
  <si>
    <t>this time name it as Total amount write the DAX sytax i.e SUM(calls[Purchase amount])</t>
  </si>
  <si>
    <t>Select currency option and click ok.</t>
  </si>
  <si>
    <t>Total Amount</t>
  </si>
  <si>
    <t>Step-6</t>
  </si>
  <si>
    <t>Similary add Total Duration in pivot option using DAX</t>
  </si>
  <si>
    <t>Total Duration</t>
  </si>
  <si>
    <t>Avg Ratings</t>
  </si>
  <si>
    <t>Step-7</t>
  </si>
  <si>
    <t>Similary add Avg Rating in pivot option using DAX</t>
  </si>
  <si>
    <t>Step-8</t>
  </si>
  <si>
    <t>Now adding measure of most happy customers having 5*calls</t>
  </si>
  <si>
    <t>CALCULATE([Call Count],calls[Rating rounded]=5</t>
  </si>
  <si>
    <t>5* Calls</t>
  </si>
  <si>
    <t>Step-9</t>
  </si>
  <si>
    <t>we got the summary of the data so name it as Summary pivot</t>
  </si>
  <si>
    <t>Step-10</t>
  </si>
  <si>
    <t>Now using the summary pivot we need to check how the data changes according to each REP</t>
  </si>
  <si>
    <t>So we copy that pivot and paste as REP pivot and now add Representative as A Slicer</t>
  </si>
  <si>
    <t>Step-11</t>
  </si>
  <si>
    <t>Step-12</t>
  </si>
  <si>
    <t xml:space="preserve">Design the Report sheet by adding shapes shadows </t>
  </si>
  <si>
    <t>to adjust shadows and shape use ctrl+1</t>
  </si>
  <si>
    <t>but there is error that GETPIVOTDATA</t>
  </si>
  <si>
    <t>Now we have to disable it so that the fumction could work</t>
  </si>
  <si>
    <t>Go to Pivot analyze ribbon and go to options and disabel generate get pivot option</t>
  </si>
  <si>
    <t>select the box and go to header to write = and get the value in your box</t>
  </si>
  <si>
    <t>Now select the call count number from the pivot for it to be shown in the coloure box then hit  enter</t>
  </si>
  <si>
    <t>Step-13</t>
  </si>
  <si>
    <t>for copying same tpe of boxes got to home ribbon</t>
  </si>
  <si>
    <t>select find &amp; select option-select objects</t>
  </si>
  <si>
    <t>Step-14</t>
  </si>
  <si>
    <t xml:space="preserve">select the whole box </t>
  </si>
  <si>
    <t>then ctrl C</t>
  </si>
  <si>
    <t>Then esc key</t>
  </si>
  <si>
    <t>then paste down</t>
  </si>
  <si>
    <t xml:space="preserve">Step-15 </t>
  </si>
  <si>
    <t>Build trend graph</t>
  </si>
  <si>
    <t>This is connected with the REP Slicer</t>
  </si>
  <si>
    <t>PIVOT 2</t>
  </si>
  <si>
    <t>PIVOT 1</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</si>
  <si>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</si>
  <si>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</si>
  <si>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</si>
  <si>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</si>
  <si>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</si>
  <si>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</si>
  <si>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</si>
  <si>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</si>
  <si>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</si>
  <si>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</si>
  <si>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</si>
  <si>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</si>
  <si>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</si>
  <si>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</si>
  <si>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</si>
  <si>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</si>
  <si>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</si>
  <si>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</si>
  <si>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</si>
  <si>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</si>
  <si>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</si>
  <si>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</si>
  <si>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</si>
  <si>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</si>
  <si>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Amount</t>
  </si>
  <si>
    <t>Sel.calls</t>
  </si>
  <si>
    <t>For graph</t>
  </si>
  <si>
    <t>Sel.amount</t>
  </si>
  <si>
    <t>Selected Rep</t>
  </si>
  <si>
    <t>Column Labels</t>
  </si>
  <si>
    <t>TOTAL</t>
  </si>
  <si>
    <t>CALL CENTRE REPORT</t>
  </si>
  <si>
    <t>Using DAX Measures-it activates when u use relationship table and data models,this is the calculation not in the table but on top of it for us to drive extra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</si>
</sst>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 #,###.0,&quot;k&quot;"/>
    <numFmt numFmtId="168" formatCode="[$$-1009]#,##0"/>
  </numFmts>
  <fonts count="9" x14ac:knownFonts="1">
    <font>
      <sz val="11"/>
      <color theme="1"/>
      <name val="Times New Roman"/>
      <family val="2"/>
      <scheme val="minor"/>
    </font>
    <font>
      <b/>
      <sz val="11"/>
      <color theme="1"/>
      <name val="Times New Roman"/>
      <family val="2"/>
      <scheme val="minor"/>
    </font>
    <font>
      <sz val="8"/>
      <name val="Times New Roman"/>
      <family val="2"/>
      <scheme val="minor"/>
    </font>
    <font>
      <sz val="18"/>
      <color theme="1"/>
      <name val="Aptos ExtraBold"/>
      <family val="2"/>
    </font>
    <font>
      <sz val="11"/>
      <color rgb="FFFF0000"/>
      <name val="Times New Roman"/>
      <family val="2"/>
      <scheme val="minor"/>
    </font>
    <font>
      <b/>
      <sz val="11"/>
      <color rgb="FFFF0000"/>
      <name val="Times New Roman"/>
      <family val="1"/>
      <scheme val="minor"/>
    </font>
    <font>
      <sz val="10"/>
      <color theme="1"/>
      <name val="Times New Roman"/>
      <family val="2"/>
      <scheme val="minor"/>
    </font>
    <font>
      <b/>
      <u/>
      <sz val="20"/>
      <color theme="1"/>
      <name val="Calibri"/>
      <family val="2"/>
    </font>
    <font>
      <b/>
      <sz val="11"/>
      <color theme="1"/>
      <name val="Times New Roman"/>
      <family val="1"/>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1">
    <xf numFmtId="0" fontId="0" fillId="0" borderId="0"/>
  </cellStyleXfs>
  <cellXfs count="5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1" xfId="0" applyBorder="1" applyAlignment="1">
      <alignment wrapText="1"/>
    </xf>
    <xf numFmtId="0" fontId="0" fillId="3" borderId="0" xfId="0" applyFill="1"/>
    <xf numFmtId="0" fontId="0" fillId="0" borderId="10" xfId="0" applyBorder="1" applyAlignment="1">
      <alignment wrapText="1"/>
    </xf>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5" fillId="0" borderId="1" xfId="0" applyFont="1" applyBorder="1" applyAlignment="1">
      <alignment wrapText="1"/>
    </xf>
    <xf numFmtId="0" fontId="4" fillId="0" borderId="1" xfId="0" applyFont="1" applyBorder="1" applyAlignment="1">
      <alignment wrapText="1"/>
    </xf>
    <xf numFmtId="0" fontId="4" fillId="0" borderId="10" xfId="0" applyFont="1" applyBorder="1" applyAlignment="1">
      <alignment wrapText="1"/>
    </xf>
    <xf numFmtId="0" fontId="4" fillId="0" borderId="0" xfId="0" applyFont="1"/>
    <xf numFmtId="0" fontId="0" fillId="0" borderId="0" xfId="0" applyAlignment="1">
      <alignment horizontal="left"/>
    </xf>
    <xf numFmtId="0" fontId="0" fillId="4" borderId="0" xfId="0" applyFill="1" applyAlignment="1">
      <alignment horizontal="left"/>
    </xf>
    <xf numFmtId="167" fontId="0" fillId="0" borderId="0" xfId="0" applyNumberFormat="1"/>
    <xf numFmtId="0" fontId="0" fillId="0" borderId="0" xfId="0" applyAlignment="1">
      <alignment horizontal="left" indent="1"/>
    </xf>
    <xf numFmtId="0" fontId="0" fillId="5" borderId="11" xfId="0" applyFill="1" applyBorder="1"/>
    <xf numFmtId="0" fontId="0" fillId="5" borderId="12" xfId="0" applyFill="1" applyBorder="1"/>
    <xf numFmtId="0" fontId="0" fillId="5" borderId="13" xfId="0" applyFill="1" applyBorder="1"/>
    <xf numFmtId="0" fontId="6" fillId="5" borderId="14" xfId="0" applyFont="1" applyFill="1" applyBorder="1"/>
    <xf numFmtId="0" fontId="6" fillId="5" borderId="0" xfId="0" applyFont="1" applyFill="1"/>
    <xf numFmtId="0" fontId="6" fillId="5" borderId="15" xfId="0" applyFont="1" applyFill="1" applyBorder="1"/>
    <xf numFmtId="0" fontId="6" fillId="5" borderId="14" xfId="0" applyFont="1" applyFill="1" applyBorder="1" applyAlignment="1">
      <alignment horizontal="left" indent="1"/>
    </xf>
    <xf numFmtId="168" fontId="6" fillId="5" borderId="0" xfId="0" applyNumberFormat="1" applyFont="1" applyFill="1"/>
    <xf numFmtId="168" fontId="6" fillId="5" borderId="15" xfId="0" applyNumberFormat="1" applyFont="1" applyFill="1" applyBorder="1"/>
    <xf numFmtId="0" fontId="6" fillId="5" borderId="16" xfId="0" applyFont="1" applyFill="1" applyBorder="1" applyAlignment="1">
      <alignment horizontal="left" indent="1"/>
    </xf>
    <xf numFmtId="168" fontId="6" fillId="5" borderId="17" xfId="0" applyNumberFormat="1" applyFont="1" applyFill="1" applyBorder="1"/>
    <xf numFmtId="168" fontId="6" fillId="5" borderId="18" xfId="0" applyNumberFormat="1" applyFont="1" applyFill="1" applyBorder="1"/>
    <xf numFmtId="0" fontId="7" fillId="3" borderId="0" xfId="0" applyFont="1" applyFill="1"/>
    <xf numFmtId="0" fontId="8" fillId="0" borderId="0" xfId="0" applyFont="1"/>
    <xf numFmtId="0" fontId="0" fillId="3" borderId="12" xfId="0" applyFill="1" applyBorder="1"/>
    <xf numFmtId="0" fontId="0" fillId="3" borderId="0" xfId="0" applyFill="1"/>
  </cellXfs>
  <cellStyles count="1">
    <cellStyle name="Normal" xfId="0" builtinId="0"/>
  </cellStyles>
  <dxfs count="29">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39994506668294322"/>
        </patternFill>
      </fill>
      <border>
        <left style="thin">
          <color theme="1" tint="0.24994659260841701"/>
        </left>
        <right style="thin">
          <color theme="1" tint="0.24994659260841701"/>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Times New Roman"/>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8"/>
    </tableStyle>
    <tableStyle name="SlicerStyleDark5 2" pivot="0" table="0" count="10" xr9:uid="{137440BB-73A2-487B-8FAB-32AB7B5C5CA7}">
      <tableStyleElement type="wholeTable" dxfId="27"/>
      <tableStyleElement type="headerRow" dxfId="2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 Target="richData/rdrichvalu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Operations &amp; KPI Analytics Dashboard.xlsx]PIVOT!Monthly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solidFill>
                  <a:schemeClr val="accent5">
                    <a:lumMod val="75000"/>
                  </a:schemeClr>
                </a:solidFill>
              </a:rPr>
              <a:t>Monthly Call Volume Trend</a:t>
            </a:r>
            <a:endParaRPr lang="en-IN" sz="1100">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40000"/>
                  <a:lumOff val="60000"/>
                  <a:alpha val="0"/>
                </a:schemeClr>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55074365704284E-2"/>
          <c:y val="0.19851633129192184"/>
          <c:w val="0.73569203849518805"/>
          <c:h val="0.54874671916010498"/>
        </c:manualLayout>
      </c:layout>
      <c:areaChart>
        <c:grouping val="stacked"/>
        <c:varyColors val="0"/>
        <c:ser>
          <c:idx val="1"/>
          <c:order val="1"/>
          <c:tx>
            <c:strRef>
              <c:f>PIVOT!$C$13</c:f>
              <c:strCache>
                <c:ptCount val="1"/>
                <c:pt idx="0">
                  <c:v>Call Count2</c:v>
                </c:pt>
              </c:strCache>
            </c:strRef>
          </c:tx>
          <c:spPr>
            <a:gradFill>
              <a:gsLst>
                <a:gs pos="0">
                  <a:schemeClr val="accent6">
                    <a:lumMod val="40000"/>
                    <a:lumOff val="60000"/>
                    <a:alpha val="0"/>
                  </a:schemeClr>
                </a:gs>
                <a:gs pos="100000">
                  <a:schemeClr val="accent6">
                    <a:lumMod val="75000"/>
                  </a:schemeClr>
                </a:gs>
              </a:gsLst>
              <a:lin ang="5400000" scaled="1"/>
            </a:gradFill>
            <a:ln>
              <a:noFill/>
            </a:ln>
            <a:effectLst/>
          </c:spPr>
          <c:cat>
            <c:strRef>
              <c:f>PIVOT!$A$14:$A$26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PIVOT!$C$14:$C$26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9A4E-4F60-B65F-0E31A75B003C}"/>
            </c:ext>
          </c:extLst>
        </c:ser>
        <c:dLbls>
          <c:showLegendKey val="0"/>
          <c:showVal val="0"/>
          <c:showCatName val="0"/>
          <c:showSerName val="0"/>
          <c:showPercent val="0"/>
          <c:showBubbleSize val="0"/>
        </c:dLbls>
        <c:axId val="1544411391"/>
        <c:axId val="1544418591"/>
      </c:areaChart>
      <c:lineChart>
        <c:grouping val="standard"/>
        <c:varyColors val="0"/>
        <c:ser>
          <c:idx val="0"/>
          <c:order val="0"/>
          <c:tx>
            <c:strRef>
              <c:f>PIVOT!$B$13</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PIVOT!$A$14:$A$26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PIVOT!$B$14:$B$26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9A4E-4F60-B65F-0E31A75B003C}"/>
            </c:ext>
          </c:extLst>
        </c:ser>
        <c:dLbls>
          <c:showLegendKey val="0"/>
          <c:showVal val="0"/>
          <c:showCatName val="0"/>
          <c:showSerName val="0"/>
          <c:showPercent val="0"/>
          <c:showBubbleSize val="0"/>
        </c:dLbls>
        <c:marker val="1"/>
        <c:smooth val="0"/>
        <c:axId val="1544411391"/>
        <c:axId val="1544418591"/>
      </c:lineChart>
      <c:catAx>
        <c:axId val="154441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18591"/>
        <c:crosses val="autoZero"/>
        <c:auto val="1"/>
        <c:lblAlgn val="ctr"/>
        <c:lblOffset val="100"/>
        <c:noMultiLvlLbl val="0"/>
      </c:catAx>
      <c:valAx>
        <c:axId val="1544418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1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Operations &amp; KPI Analytics Dashboard.xlsx]PIVOT!Weekly pivot</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PIVOT!$G$15:$G$22</c:f>
              <c:strCache>
                <c:ptCount val="7"/>
                <c:pt idx="0">
                  <c:v>Monday</c:v>
                </c:pt>
                <c:pt idx="1">
                  <c:v>Tuesday</c:v>
                </c:pt>
                <c:pt idx="2">
                  <c:v>Wednesday</c:v>
                </c:pt>
                <c:pt idx="3">
                  <c:v>Thursday</c:v>
                </c:pt>
                <c:pt idx="4">
                  <c:v>Friday</c:v>
                </c:pt>
                <c:pt idx="5">
                  <c:v>Saturday</c:v>
                </c:pt>
                <c:pt idx="6">
                  <c:v>Sunday</c:v>
                </c:pt>
              </c:strCache>
            </c:strRef>
          </c:cat>
          <c:val>
            <c:numRef>
              <c:f>PIVOT!$H$15:$H$22</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1E89-4C47-BD10-0C229649DFF0}"/>
            </c:ext>
          </c:extLst>
        </c:ser>
        <c:dLbls>
          <c:showLegendKey val="0"/>
          <c:showVal val="0"/>
          <c:showCatName val="0"/>
          <c:showSerName val="0"/>
          <c:showPercent val="0"/>
          <c:showBubbleSize val="0"/>
        </c:dLbls>
        <c:gapWidth val="20"/>
        <c:axId val="1544458431"/>
        <c:axId val="1544458911"/>
      </c:barChart>
      <c:catAx>
        <c:axId val="1544458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58911"/>
        <c:crosses val="autoZero"/>
        <c:auto val="1"/>
        <c:lblAlgn val="ctr"/>
        <c:lblOffset val="100"/>
        <c:noMultiLvlLbl val="0"/>
      </c:catAx>
      <c:valAx>
        <c:axId val="1544458911"/>
        <c:scaling>
          <c:orientation val="minMax"/>
        </c:scaling>
        <c:delete val="1"/>
        <c:axPos val="b"/>
        <c:numFmt formatCode="#,##0" sourceLinked="1"/>
        <c:majorTickMark val="out"/>
        <c:minorTickMark val="none"/>
        <c:tickLblPos val="nextTo"/>
        <c:crossAx val="154445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Calls</a:t>
            </a:r>
          </a:p>
        </c:rich>
      </c:tx>
      <c:layout>
        <c:manualLayout>
          <c:xMode val="edge"/>
          <c:yMode val="edge"/>
          <c:x val="6.9130824372759886E-2"/>
          <c:y val="3.7140204271123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PIVOT!$E$30:$E$34</c:f>
              <c:strCache>
                <c:ptCount val="5"/>
                <c:pt idx="0">
                  <c:v>R01</c:v>
                </c:pt>
                <c:pt idx="1">
                  <c:v>R02</c:v>
                </c:pt>
                <c:pt idx="2">
                  <c:v>R03</c:v>
                </c:pt>
                <c:pt idx="3">
                  <c:v>R04</c:v>
                </c:pt>
                <c:pt idx="4">
                  <c:v>R05</c:v>
                </c:pt>
              </c:strCache>
            </c:strRef>
          </c:cat>
          <c:val>
            <c:numRef>
              <c:f>PIVOT!$F$30:$F$34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104-4EF2-A6EE-F0783C9B8951}"/>
            </c:ext>
          </c:extLst>
        </c:ser>
        <c:ser>
          <c:idx val="1"/>
          <c:order val="1"/>
          <c:tx>
            <c:strRef>
              <c:f>PIVOT!$H$29</c:f>
              <c:strCache>
                <c:ptCount val="1"/>
                <c:pt idx="0">
                  <c:v>Sel.calls</c:v>
                </c:pt>
              </c:strCache>
            </c:strRef>
          </c:tx>
          <c:spPr>
            <a:gradFill>
              <a:gsLst>
                <a:gs pos="0">
                  <a:schemeClr val="accent5"/>
                </a:gs>
                <a:gs pos="0">
                  <a:schemeClr val="accent5"/>
                </a:gs>
                <a:gs pos="100000">
                  <a:schemeClr val="accent5"/>
                </a:gs>
                <a:gs pos="100000">
                  <a:schemeClr val="accent1">
                    <a:lumMod val="30000"/>
                    <a:lumOff val="70000"/>
                  </a:schemeClr>
                </a:gs>
              </a:gsLst>
              <a:lin ang="16200000" scaled="0"/>
            </a:gradFill>
            <a:ln>
              <a:noFill/>
            </a:ln>
            <a:effectLst/>
          </c:spPr>
          <c:invertIfNegative val="0"/>
          <c:val>
            <c:numRef>
              <c:f>PIVOT!$H$30:$H$34</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5104-4EF2-A6EE-F0783C9B8951}"/>
            </c:ext>
          </c:extLst>
        </c:ser>
        <c:dLbls>
          <c:showLegendKey val="0"/>
          <c:showVal val="0"/>
          <c:showCatName val="0"/>
          <c:showSerName val="0"/>
          <c:showPercent val="0"/>
          <c:showBubbleSize val="0"/>
        </c:dLbls>
        <c:gapWidth val="25"/>
        <c:overlap val="100"/>
        <c:axId val="726270479"/>
        <c:axId val="726268079"/>
      </c:barChart>
      <c:catAx>
        <c:axId val="7262704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68079"/>
        <c:crosses val="autoZero"/>
        <c:auto val="1"/>
        <c:lblAlgn val="ctr"/>
        <c:lblOffset val="100"/>
        <c:noMultiLvlLbl val="0"/>
      </c:catAx>
      <c:valAx>
        <c:axId val="726268079"/>
        <c:scaling>
          <c:orientation val="minMax"/>
          <c:min val="0"/>
        </c:scaling>
        <c:delete val="1"/>
        <c:axPos val="t"/>
        <c:numFmt formatCode="General" sourceLinked="1"/>
        <c:majorTickMark val="none"/>
        <c:minorTickMark val="none"/>
        <c:tickLblPos val="nextTo"/>
        <c:crossAx val="72627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r>
              <a:rPr lang="en-IN" b="1">
                <a:solidFill>
                  <a:schemeClr val="accent5"/>
                </a:solidFill>
              </a:rPr>
              <a:t>Amount</a:t>
            </a:r>
          </a:p>
        </c:rich>
      </c:tx>
      <c:layout>
        <c:manualLayout>
          <c:xMode val="edge"/>
          <c:yMode val="edge"/>
          <c:x val="6.317204301075266E-2"/>
          <c:y val="4.17827298050139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PIVOT!$E$30:$E$34</c:f>
              <c:strCache>
                <c:ptCount val="5"/>
                <c:pt idx="0">
                  <c:v>R01</c:v>
                </c:pt>
                <c:pt idx="1">
                  <c:v>R02</c:v>
                </c:pt>
                <c:pt idx="2">
                  <c:v>R03</c:v>
                </c:pt>
                <c:pt idx="3">
                  <c:v>R04</c:v>
                </c:pt>
                <c:pt idx="4">
                  <c:v>R05</c:v>
                </c:pt>
              </c:strCache>
            </c:strRef>
          </c:cat>
          <c:val>
            <c:numRef>
              <c:f>PIVOT!$G$30:$G$34</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1F0-47E9-ACBC-DA7D712A20D0}"/>
            </c:ext>
          </c:extLst>
        </c:ser>
        <c:ser>
          <c:idx val="1"/>
          <c:order val="1"/>
          <c:tx>
            <c:strRef>
              <c:f>PIVOT!$I$29</c:f>
              <c:strCache>
                <c:ptCount val="1"/>
                <c:pt idx="0">
                  <c:v>Sel.amount</c:v>
                </c:pt>
              </c:strCache>
            </c:strRef>
          </c:tx>
          <c:spPr>
            <a:gradFill>
              <a:gsLst>
                <a:gs pos="0">
                  <a:schemeClr val="accent1">
                    <a:lumMod val="5000"/>
                    <a:lumOff val="95000"/>
                  </a:schemeClr>
                </a:gs>
                <a:gs pos="0">
                  <a:schemeClr val="accent5"/>
                </a:gs>
                <a:gs pos="100000">
                  <a:schemeClr val="accent5"/>
                </a:gs>
                <a:gs pos="100000">
                  <a:schemeClr val="accent1">
                    <a:lumMod val="30000"/>
                    <a:lumOff val="70000"/>
                  </a:schemeClr>
                </a:gs>
              </a:gsLst>
              <a:lin ang="16200000" scaled="0"/>
            </a:gradFill>
            <a:ln>
              <a:noFill/>
            </a:ln>
            <a:effectLst/>
          </c:spPr>
          <c:invertIfNegative val="0"/>
          <c:dPt>
            <c:idx val="1"/>
            <c:invertIfNegative val="0"/>
            <c:bubble3D val="0"/>
            <c:spPr>
              <a:gradFill>
                <a:gsLst>
                  <a:gs pos="37000">
                    <a:schemeClr val="accent6"/>
                  </a:gs>
                  <a:gs pos="100000">
                    <a:schemeClr val="accent5"/>
                  </a:gs>
                  <a:gs pos="100000">
                    <a:schemeClr val="accent1">
                      <a:lumMod val="30000"/>
                      <a:lumOff val="70000"/>
                    </a:schemeClr>
                  </a:gs>
                </a:gsLst>
                <a:lin ang="16200000" scaled="0"/>
              </a:gradFill>
              <a:ln>
                <a:noFill/>
              </a:ln>
              <a:effectLst/>
            </c:spPr>
            <c:extLst>
              <c:ext xmlns:c16="http://schemas.microsoft.com/office/drawing/2014/chart" uri="{C3380CC4-5D6E-409C-BE32-E72D297353CC}">
                <c16:uniqueId val="{00000002-71F0-47E9-ACBC-DA7D712A20D0}"/>
              </c:ext>
            </c:extLst>
          </c:dPt>
          <c:val>
            <c:numRef>
              <c:f>PIVOT!$I$30:$I$34</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71F0-47E9-ACBC-DA7D712A20D0}"/>
            </c:ext>
          </c:extLst>
        </c:ser>
        <c:dLbls>
          <c:showLegendKey val="0"/>
          <c:showVal val="0"/>
          <c:showCatName val="0"/>
          <c:showSerName val="0"/>
          <c:showPercent val="0"/>
          <c:showBubbleSize val="0"/>
        </c:dLbls>
        <c:gapWidth val="25"/>
        <c:overlap val="100"/>
        <c:axId val="726270479"/>
        <c:axId val="726268079"/>
      </c:barChart>
      <c:catAx>
        <c:axId val="726270479"/>
        <c:scaling>
          <c:orientation val="maxMin"/>
        </c:scaling>
        <c:delete val="1"/>
        <c:axPos val="l"/>
        <c:numFmt formatCode="General" sourceLinked="1"/>
        <c:majorTickMark val="none"/>
        <c:minorTickMark val="none"/>
        <c:tickLblPos val="nextTo"/>
        <c:crossAx val="726268079"/>
        <c:crosses val="autoZero"/>
        <c:auto val="1"/>
        <c:lblAlgn val="ctr"/>
        <c:lblOffset val="100"/>
        <c:noMultiLvlLbl val="0"/>
      </c:catAx>
      <c:valAx>
        <c:axId val="726268079"/>
        <c:scaling>
          <c:orientation val="minMax"/>
        </c:scaling>
        <c:delete val="1"/>
        <c:axPos val="t"/>
        <c:numFmt formatCode="\$\ #,###.0,&quot;k&quot;" sourceLinked="1"/>
        <c:majorTickMark val="none"/>
        <c:minorTickMark val="none"/>
        <c:tickLblPos val="nextTo"/>
        <c:crossAx val="72627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Operations &amp; KPI Analytics Dashboard.xlsx]PIVOT!PivotTable4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1" baseline="0">
                <a:solidFill>
                  <a:schemeClr val="accent5"/>
                </a:solidFill>
              </a:rPr>
              <a:t> </a:t>
            </a:r>
            <a:r>
              <a:rPr lang="en-IN" b="1" baseline="0">
                <a:solidFill>
                  <a:sysClr val="windowText" lastClr="000000"/>
                </a:solidFill>
              </a:rPr>
              <a:t>vs</a:t>
            </a:r>
            <a:r>
              <a:rPr lang="en-IN" baseline="0"/>
              <a:t> </a:t>
            </a:r>
            <a:r>
              <a:rPr lang="en-IN" b="1" baseline="0">
                <a:solidFill>
                  <a:schemeClr val="accent4"/>
                </a:solidFill>
              </a:rPr>
              <a:t>Male</a:t>
            </a:r>
            <a:r>
              <a:rPr lang="en-IN" baseline="0"/>
              <a:t> </a:t>
            </a:r>
            <a:r>
              <a:rPr lang="en-IN" b="1" baseline="0">
                <a:solidFill>
                  <a:schemeClr val="tx1"/>
                </a:solidFill>
              </a:rPr>
              <a:t>Callers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accent4">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PIVOT!$B$43:$B$44</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PIVOT!$A$45:$A$48</c:f>
              <c:strCache>
                <c:ptCount val="3"/>
                <c:pt idx="0">
                  <c:v>Cincinnati</c:v>
                </c:pt>
                <c:pt idx="1">
                  <c:v>Cleveland</c:v>
                </c:pt>
                <c:pt idx="2">
                  <c:v>Columbus</c:v>
                </c:pt>
              </c:strCache>
            </c:strRef>
          </c:cat>
          <c:val>
            <c:numRef>
              <c:f>PIVOT!$B$45:$B$48</c:f>
              <c:numCache>
                <c:formatCode>#,##0</c:formatCode>
                <c:ptCount val="3"/>
                <c:pt idx="0">
                  <c:v>144</c:v>
                </c:pt>
                <c:pt idx="1">
                  <c:v>326</c:v>
                </c:pt>
                <c:pt idx="2">
                  <c:v>129</c:v>
                </c:pt>
              </c:numCache>
            </c:numRef>
          </c:val>
          <c:extLst>
            <c:ext xmlns:c16="http://schemas.microsoft.com/office/drawing/2014/chart" uri="{C3380CC4-5D6E-409C-BE32-E72D297353CC}">
              <c16:uniqueId val="{00000000-06E9-4A85-927F-D31FB62B8E21}"/>
            </c:ext>
          </c:extLst>
        </c:ser>
        <c:ser>
          <c:idx val="1"/>
          <c:order val="1"/>
          <c:tx>
            <c:strRef>
              <c:f>PIVOT!$C$43:$C$44</c:f>
              <c:strCache>
                <c:ptCount val="1"/>
                <c:pt idx="0">
                  <c:v>Male</c:v>
                </c:pt>
              </c:strCache>
            </c:strRef>
          </c:tx>
          <c:spPr>
            <a:solidFill>
              <a:schemeClr val="accent4"/>
            </a:solidFill>
            <a:ln>
              <a:noFill/>
            </a:ln>
            <a:effectLst/>
          </c:spPr>
          <c:invertIfNegative val="0"/>
          <c:dLbls>
            <c:spPr>
              <a:solidFill>
                <a:schemeClr val="accent4">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PIVOT!$A$45:$A$48</c:f>
              <c:strCache>
                <c:ptCount val="3"/>
                <c:pt idx="0">
                  <c:v>Cincinnati</c:v>
                </c:pt>
                <c:pt idx="1">
                  <c:v>Cleveland</c:v>
                </c:pt>
                <c:pt idx="2">
                  <c:v>Columbus</c:v>
                </c:pt>
              </c:strCache>
            </c:strRef>
          </c:cat>
          <c:val>
            <c:numRef>
              <c:f>PIVOT!$C$45:$C$48</c:f>
              <c:numCache>
                <c:formatCode>#,##0</c:formatCode>
                <c:ptCount val="3"/>
                <c:pt idx="0">
                  <c:v>132</c:v>
                </c:pt>
                <c:pt idx="1">
                  <c:v>63</c:v>
                </c:pt>
                <c:pt idx="2">
                  <c:v>206</c:v>
                </c:pt>
              </c:numCache>
            </c:numRef>
          </c:val>
          <c:extLst>
            <c:ext xmlns:c16="http://schemas.microsoft.com/office/drawing/2014/chart" uri="{C3380CC4-5D6E-409C-BE32-E72D297353CC}">
              <c16:uniqueId val="{00000001-06E9-4A85-927F-D31FB62B8E21}"/>
            </c:ext>
          </c:extLst>
        </c:ser>
        <c:dLbls>
          <c:dLblPos val="ctr"/>
          <c:showLegendKey val="0"/>
          <c:showVal val="1"/>
          <c:showCatName val="0"/>
          <c:showSerName val="0"/>
          <c:showPercent val="0"/>
          <c:showBubbleSize val="0"/>
        </c:dLbls>
        <c:gapWidth val="25"/>
        <c:overlap val="100"/>
        <c:axId val="2101738015"/>
        <c:axId val="2101737535"/>
      </c:barChart>
      <c:catAx>
        <c:axId val="210173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737535"/>
        <c:crosses val="autoZero"/>
        <c:auto val="1"/>
        <c:lblAlgn val="ctr"/>
        <c:lblOffset val="100"/>
        <c:noMultiLvlLbl val="0"/>
      </c:catAx>
      <c:valAx>
        <c:axId val="2101737535"/>
        <c:scaling>
          <c:orientation val="minMax"/>
        </c:scaling>
        <c:delete val="1"/>
        <c:axPos val="l"/>
        <c:numFmt formatCode="0%" sourceLinked="1"/>
        <c:majorTickMark val="none"/>
        <c:minorTickMark val="none"/>
        <c:tickLblPos val="nextTo"/>
        <c:crossAx val="21017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Operations &amp; KPI Analytics Dashboard.xlsx]PIVOT!Rep Satisfaction</c:name>
    <c:fmtId val="9"/>
  </c:pivotSource>
  <c:chart>
    <c:title>
      <c:tx>
        <c:rich>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r>
              <a:rPr lang="en-US"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solidFill>
              <a:schemeClr val="bg2">
                <a:lumMod val="50000"/>
              </a:schemeClr>
            </a:solidFill>
            <a:ln>
              <a:noFill/>
            </a:ln>
            <a:effectLst/>
          </c:spPr>
          <c:invertIfNegative val="0"/>
          <c:cat>
            <c:strRef>
              <c:f>PIVOT!$A$52:$A$57</c:f>
              <c:strCache>
                <c:ptCount val="5"/>
                <c:pt idx="0">
                  <c:v>1</c:v>
                </c:pt>
                <c:pt idx="1">
                  <c:v>2</c:v>
                </c:pt>
                <c:pt idx="2">
                  <c:v>3</c:v>
                </c:pt>
                <c:pt idx="3">
                  <c:v>4</c:v>
                </c:pt>
                <c:pt idx="4">
                  <c:v>5</c:v>
                </c:pt>
              </c:strCache>
            </c:strRef>
          </c:cat>
          <c:val>
            <c:numRef>
              <c:f>PIVOT!$B$52:$B$57</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ECC4-46AD-B362-5FD73F668C40}"/>
            </c:ext>
          </c:extLst>
        </c:ser>
        <c:dLbls>
          <c:showLegendKey val="0"/>
          <c:showVal val="0"/>
          <c:showCatName val="0"/>
          <c:showSerName val="0"/>
          <c:showPercent val="0"/>
          <c:showBubbleSize val="0"/>
        </c:dLbls>
        <c:gapWidth val="10"/>
        <c:overlap val="-27"/>
        <c:axId val="724181503"/>
        <c:axId val="724179103"/>
      </c:barChart>
      <c:catAx>
        <c:axId val="72418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79103"/>
        <c:crosses val="autoZero"/>
        <c:auto val="1"/>
        <c:lblAlgn val="ctr"/>
        <c:lblOffset val="100"/>
        <c:noMultiLvlLbl val="0"/>
      </c:catAx>
      <c:valAx>
        <c:axId val="724179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8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svg"/><Relationship Id="rId17" Type="http://schemas.openxmlformats.org/officeDocument/2006/relationships/chart" Target="../charts/chart5.xml"/><Relationship Id="rId2" Type="http://schemas.openxmlformats.org/officeDocument/2006/relationships/image" Target="../media/image14.svg"/><Relationship Id="rId16" Type="http://schemas.openxmlformats.org/officeDocument/2006/relationships/chart" Target="../charts/chart4.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chart" Target="../charts/chart3.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ustomXml" Target="../ink/ink7.xml"/><Relationship Id="rId3" Type="http://schemas.openxmlformats.org/officeDocument/2006/relationships/customXml" Target="../ink/ink2.xml"/><Relationship Id="rId7" Type="http://schemas.openxmlformats.org/officeDocument/2006/relationships/customXml" Target="../ink/ink6.xml"/><Relationship Id="rId12" Type="http://schemas.openxmlformats.org/officeDocument/2006/relationships/customXml" Target="../ink/ink11.xml"/><Relationship Id="rId2" Type="http://schemas.openxmlformats.org/officeDocument/2006/relationships/image" Target="../media/image25.png"/><Relationship Id="rId1" Type="http://schemas.openxmlformats.org/officeDocument/2006/relationships/customXml" Target="../ink/ink1.xml"/><Relationship Id="rId6" Type="http://schemas.openxmlformats.org/officeDocument/2006/relationships/customXml" Target="../ink/ink5.xml"/><Relationship Id="rId11" Type="http://schemas.openxmlformats.org/officeDocument/2006/relationships/customXml" Target="../ink/ink10.xml"/><Relationship Id="rId5" Type="http://schemas.openxmlformats.org/officeDocument/2006/relationships/customXml" Target="../ink/ink4.xml"/><Relationship Id="rId10" Type="http://schemas.openxmlformats.org/officeDocument/2006/relationships/customXml" Target="../ink/ink9.xml"/><Relationship Id="rId4" Type="http://schemas.openxmlformats.org/officeDocument/2006/relationships/customXml" Target="../ink/ink3.xml"/><Relationship Id="rId9" Type="http://schemas.openxmlformats.org/officeDocument/2006/relationships/customXml" Target="../ink/ink8.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8</xdr:row>
      <xdr:rowOff>168715</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310927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14</xdr:row>
      <xdr:rowOff>205409</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17268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4229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129540</xdr:colOff>
      <xdr:row>11</xdr:row>
      <xdr:rowOff>114300</xdr:rowOff>
    </xdr:from>
    <xdr:to>
      <xdr:col>15</xdr:col>
      <xdr:colOff>563880</xdr:colOff>
      <xdr:row>21</xdr:row>
      <xdr:rowOff>0</xdr:rowOff>
    </xdr:to>
    <mc:AlternateContent xmlns:mc="http://schemas.openxmlformats.org/markup-compatibility/2006" xmlns:a14="http://schemas.microsoft.com/office/drawing/2010/main">
      <mc:Choice Requires="a14">
        <xdr:graphicFrame macro="">
          <xdr:nvGraphicFramePr>
            <xdr:cNvPr id="43" name="Representative">
              <a:extLst>
                <a:ext uri="{FF2B5EF4-FFF2-40B4-BE49-F238E27FC236}">
                  <a16:creationId xmlns:a16="http://schemas.microsoft.com/office/drawing/2014/main" id="{1EC68D04-303D-4D24-A584-511CE1C4652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589520" y="2270760"/>
              <a:ext cx="104394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1</xdr:row>
      <xdr:rowOff>129540</xdr:rowOff>
    </xdr:from>
    <xdr:to>
      <xdr:col>4</xdr:col>
      <xdr:colOff>312420</xdr:colOff>
      <xdr:row>6</xdr:row>
      <xdr:rowOff>99060</xdr:rowOff>
    </xdr:to>
    <xdr:sp macro="" textlink="PIVOT!A4">
      <xdr:nvSpPr>
        <xdr:cNvPr id="2" name="Rectangle 1">
          <a:extLst>
            <a:ext uri="{FF2B5EF4-FFF2-40B4-BE49-F238E27FC236}">
              <a16:creationId xmlns:a16="http://schemas.microsoft.com/office/drawing/2014/main" id="{7812810F-3792-774A-BEC5-262491B04092}"/>
            </a:ext>
          </a:extLst>
        </xdr:cNvPr>
        <xdr:cNvSpPr/>
      </xdr:nvSpPr>
      <xdr:spPr>
        <a:xfrm>
          <a:off x="289560" y="533400"/>
          <a:ext cx="1562100" cy="845820"/>
        </a:xfrm>
        <a:prstGeom prst="rect">
          <a:avLst/>
        </a:prstGeom>
        <a:solidFill>
          <a:schemeClr val="accent6"/>
        </a:solidFill>
        <a:ln>
          <a:noFill/>
        </a:ln>
        <a:effectLst>
          <a:outerShdw blurRad="2667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97554F-3044-4444-B743-ACB05B5B9F57}" type="TxLink">
            <a:rPr lang="en-US" sz="2000" b="1" i="0" u="none" strike="noStrike">
              <a:solidFill>
                <a:schemeClr val="bg1"/>
              </a:solidFill>
              <a:latin typeface="+mj-lt"/>
              <a:cs typeface="Times New Roman"/>
            </a:rPr>
            <a:pPr algn="ctr"/>
            <a:t>1,000</a:t>
          </a:fld>
          <a:endParaRPr lang="en-US" sz="2000" b="1">
            <a:solidFill>
              <a:schemeClr val="bg1"/>
            </a:solidFill>
            <a:latin typeface="+mj-lt"/>
          </a:endParaRPr>
        </a:p>
      </xdr:txBody>
    </xdr:sp>
    <xdr:clientData/>
  </xdr:twoCellAnchor>
  <xdr:twoCellAnchor>
    <xdr:from>
      <xdr:col>2</xdr:col>
      <xdr:colOff>213360</xdr:colOff>
      <xdr:row>2</xdr:row>
      <xdr:rowOff>30480</xdr:rowOff>
    </xdr:from>
    <xdr:to>
      <xdr:col>4</xdr:col>
      <xdr:colOff>7620</xdr:colOff>
      <xdr:row>3</xdr:row>
      <xdr:rowOff>60960</xdr:rowOff>
    </xdr:to>
    <xdr:sp macro="" textlink="">
      <xdr:nvSpPr>
        <xdr:cNvPr id="3" name="TextBox 2">
          <a:extLst>
            <a:ext uri="{FF2B5EF4-FFF2-40B4-BE49-F238E27FC236}">
              <a16:creationId xmlns:a16="http://schemas.microsoft.com/office/drawing/2014/main" id="{0343B1E6-88D7-75B0-64BC-63A141C0630D}"/>
            </a:ext>
          </a:extLst>
        </xdr:cNvPr>
        <xdr:cNvSpPr txBox="1"/>
      </xdr:nvSpPr>
      <xdr:spPr>
        <a:xfrm>
          <a:off x="533400" y="609600"/>
          <a:ext cx="1013460" cy="2057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1">
                  <a:lumMod val="95000"/>
                </a:schemeClr>
              </a:solidFill>
            </a:rPr>
            <a:t>Calls</a:t>
          </a:r>
        </a:p>
      </xdr:txBody>
    </xdr:sp>
    <xdr:clientData/>
  </xdr:twoCellAnchor>
  <xdr:twoCellAnchor editAs="oneCell">
    <xdr:from>
      <xdr:col>2</xdr:col>
      <xdr:colOff>121921</xdr:colOff>
      <xdr:row>3</xdr:row>
      <xdr:rowOff>91441</xdr:rowOff>
    </xdr:from>
    <xdr:to>
      <xdr:col>2</xdr:col>
      <xdr:colOff>348395</xdr:colOff>
      <xdr:row>4</xdr:row>
      <xdr:rowOff>137160</xdr:rowOff>
    </xdr:to>
    <xdr:pic>
      <xdr:nvPicPr>
        <xdr:cNvPr id="4" name="Graphic 3" descr="Receiver with solid fill">
          <a:extLst>
            <a:ext uri="{FF2B5EF4-FFF2-40B4-BE49-F238E27FC236}">
              <a16:creationId xmlns:a16="http://schemas.microsoft.com/office/drawing/2014/main" id="{B091915A-D6C1-4E79-8C45-3F88303616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4361" y="617221"/>
          <a:ext cx="226474" cy="220979"/>
        </a:xfrm>
        <a:prstGeom prst="rect">
          <a:avLst/>
        </a:prstGeom>
      </xdr:spPr>
    </xdr:pic>
    <xdr:clientData/>
  </xdr:twoCellAnchor>
  <xdr:twoCellAnchor>
    <xdr:from>
      <xdr:col>2</xdr:col>
      <xdr:colOff>236220</xdr:colOff>
      <xdr:row>5</xdr:row>
      <xdr:rowOff>0</xdr:rowOff>
    </xdr:from>
    <xdr:to>
      <xdr:col>4</xdr:col>
      <xdr:colOff>22860</xdr:colOff>
      <xdr:row>6</xdr:row>
      <xdr:rowOff>15240</xdr:rowOff>
    </xdr:to>
    <xdr:sp macro="" textlink="PIVOT!A8">
      <xdr:nvSpPr>
        <xdr:cNvPr id="5" name="TextBox 4">
          <a:extLst>
            <a:ext uri="{FF2B5EF4-FFF2-40B4-BE49-F238E27FC236}">
              <a16:creationId xmlns:a16="http://schemas.microsoft.com/office/drawing/2014/main" id="{58DF3B80-84D2-4E92-2680-C6F14BB44746}"/>
            </a:ext>
          </a:extLst>
        </xdr:cNvPr>
        <xdr:cNvSpPr txBox="1"/>
      </xdr:nvSpPr>
      <xdr:spPr>
        <a:xfrm>
          <a:off x="556260" y="1104900"/>
          <a:ext cx="10058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26039D-7162-406B-9F95-7EFCDC83C9E4}" type="TxLink">
            <a:rPr lang="en-US" sz="1100" b="0" i="0" u="none" strike="noStrike">
              <a:ln>
                <a:noFill/>
              </a:ln>
              <a:solidFill>
                <a:schemeClr val="bg1">
                  <a:lumMod val="85000"/>
                </a:schemeClr>
              </a:solidFill>
              <a:latin typeface="Times New Roman"/>
              <a:cs typeface="Times New Roman"/>
            </a:rPr>
            <a:pPr algn="ctr"/>
            <a:t>189</a:t>
          </a:fld>
          <a:endParaRPr lang="en-IN" sz="1100">
            <a:ln>
              <a:noFill/>
            </a:ln>
            <a:solidFill>
              <a:schemeClr val="bg1">
                <a:lumMod val="85000"/>
              </a:schemeClr>
            </a:solidFill>
          </a:endParaRPr>
        </a:p>
      </xdr:txBody>
    </xdr:sp>
    <xdr:clientData/>
  </xdr:twoCellAnchor>
  <xdr:twoCellAnchor>
    <xdr:from>
      <xdr:col>1</xdr:col>
      <xdr:colOff>7620</xdr:colOff>
      <xdr:row>7</xdr:row>
      <xdr:rowOff>7620</xdr:rowOff>
    </xdr:from>
    <xdr:to>
      <xdr:col>4</xdr:col>
      <xdr:colOff>289560</xdr:colOff>
      <xdr:row>12</xdr:row>
      <xdr:rowOff>7620</xdr:rowOff>
    </xdr:to>
    <xdr:sp macro="" textlink="PIVOT!B4">
      <xdr:nvSpPr>
        <xdr:cNvPr id="22" name="Rectangle 21">
          <a:extLst>
            <a:ext uri="{FF2B5EF4-FFF2-40B4-BE49-F238E27FC236}">
              <a16:creationId xmlns:a16="http://schemas.microsoft.com/office/drawing/2014/main" id="{3F206986-AD6E-40F1-8B2C-D20C498EBC2F}"/>
            </a:ext>
          </a:extLst>
        </xdr:cNvPr>
        <xdr:cNvSpPr/>
      </xdr:nvSpPr>
      <xdr:spPr>
        <a:xfrm>
          <a:off x="289560" y="1463040"/>
          <a:ext cx="1539240" cy="876300"/>
        </a:xfrm>
        <a:prstGeom prst="rect">
          <a:avLst/>
        </a:prstGeom>
        <a:solidFill>
          <a:schemeClr val="accent6"/>
        </a:solidFill>
        <a:ln>
          <a:noFill/>
        </a:ln>
        <a:effectLst>
          <a:outerShdw blurRad="2667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841A63C-DABE-4C21-8445-83C271200F22}" type="TxLink">
            <a:rPr lang="en-US" sz="2000" b="1" i="0" u="none" strike="noStrike">
              <a:solidFill>
                <a:schemeClr val="bg1"/>
              </a:solidFill>
              <a:latin typeface="+mj-lt"/>
              <a:ea typeface="+mn-ea"/>
              <a:cs typeface="Times New Roman"/>
            </a:rPr>
            <a:pPr marL="0" indent="0" algn="ctr"/>
            <a:t>$96,623</a:t>
          </a:fld>
          <a:endParaRPr lang="en-US" sz="2000" b="1" i="0" u="none" strike="noStrike">
            <a:solidFill>
              <a:schemeClr val="bg1"/>
            </a:solidFill>
            <a:latin typeface="+mj-lt"/>
            <a:ea typeface="+mn-ea"/>
            <a:cs typeface="Times New Roman"/>
          </a:endParaRPr>
        </a:p>
      </xdr:txBody>
    </xdr:sp>
    <xdr:clientData/>
  </xdr:twoCellAnchor>
  <xdr:twoCellAnchor>
    <xdr:from>
      <xdr:col>2</xdr:col>
      <xdr:colOff>266700</xdr:colOff>
      <xdr:row>7</xdr:row>
      <xdr:rowOff>99060</xdr:rowOff>
    </xdr:from>
    <xdr:to>
      <xdr:col>4</xdr:col>
      <xdr:colOff>60960</xdr:colOff>
      <xdr:row>8</xdr:row>
      <xdr:rowOff>129540</xdr:rowOff>
    </xdr:to>
    <xdr:sp macro="" textlink="">
      <xdr:nvSpPr>
        <xdr:cNvPr id="23" name="TextBox 22">
          <a:extLst>
            <a:ext uri="{FF2B5EF4-FFF2-40B4-BE49-F238E27FC236}">
              <a16:creationId xmlns:a16="http://schemas.microsoft.com/office/drawing/2014/main" id="{005A7040-B260-49D9-8D33-8DF277A5C274}"/>
            </a:ext>
          </a:extLst>
        </xdr:cNvPr>
        <xdr:cNvSpPr txBox="1"/>
      </xdr:nvSpPr>
      <xdr:spPr>
        <a:xfrm>
          <a:off x="586740" y="1554480"/>
          <a:ext cx="1013460" cy="2057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1">
                  <a:lumMod val="95000"/>
                </a:schemeClr>
              </a:solidFill>
            </a:rPr>
            <a:t>Amount</a:t>
          </a:r>
        </a:p>
      </xdr:txBody>
    </xdr:sp>
    <xdr:clientData/>
  </xdr:twoCellAnchor>
  <xdr:twoCellAnchor editAs="oneCell">
    <xdr:from>
      <xdr:col>2</xdr:col>
      <xdr:colOff>106681</xdr:colOff>
      <xdr:row>11</xdr:row>
      <xdr:rowOff>98510</xdr:rowOff>
    </xdr:from>
    <xdr:to>
      <xdr:col>2</xdr:col>
      <xdr:colOff>333155</xdr:colOff>
      <xdr:row>12</xdr:row>
      <xdr:rowOff>69131</xdr:rowOff>
    </xdr:to>
    <xdr:pic>
      <xdr:nvPicPr>
        <xdr:cNvPr id="24" name="Graphic 23">
          <a:extLst>
            <a:ext uri="{FF2B5EF4-FFF2-40B4-BE49-F238E27FC236}">
              <a16:creationId xmlns:a16="http://schemas.microsoft.com/office/drawing/2014/main" id="{3B65B913-35BF-4BE0-97AA-77B1D0D402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79121" y="2026370"/>
          <a:ext cx="226474" cy="145881"/>
        </a:xfrm>
        <a:prstGeom prst="rect">
          <a:avLst/>
        </a:prstGeom>
      </xdr:spPr>
    </xdr:pic>
    <xdr:clientData/>
  </xdr:twoCellAnchor>
  <xdr:twoCellAnchor>
    <xdr:from>
      <xdr:col>2</xdr:col>
      <xdr:colOff>243840</xdr:colOff>
      <xdr:row>10</xdr:row>
      <xdr:rowOff>38100</xdr:rowOff>
    </xdr:from>
    <xdr:to>
      <xdr:col>4</xdr:col>
      <xdr:colOff>30480</xdr:colOff>
      <xdr:row>11</xdr:row>
      <xdr:rowOff>53340</xdr:rowOff>
    </xdr:to>
    <xdr:sp macro="" textlink="PIVOT!B8">
      <xdr:nvSpPr>
        <xdr:cNvPr id="25" name="TextBox 24">
          <a:extLst>
            <a:ext uri="{FF2B5EF4-FFF2-40B4-BE49-F238E27FC236}">
              <a16:creationId xmlns:a16="http://schemas.microsoft.com/office/drawing/2014/main" id="{89CC8A06-7DC7-4F1F-8F1A-F2258902A826}"/>
            </a:ext>
          </a:extLst>
        </xdr:cNvPr>
        <xdr:cNvSpPr txBox="1"/>
      </xdr:nvSpPr>
      <xdr:spPr>
        <a:xfrm>
          <a:off x="563880" y="2019300"/>
          <a:ext cx="10058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456173-6195-4329-9D9E-E574A15E8AEA}" type="TxLink">
            <a:rPr lang="en-US" sz="1100" b="0" i="0" u="none" strike="noStrike">
              <a:ln>
                <a:noFill/>
              </a:ln>
              <a:solidFill>
                <a:schemeClr val="bg1">
                  <a:lumMod val="85000"/>
                </a:schemeClr>
              </a:solidFill>
              <a:latin typeface="Times New Roman"/>
              <a:cs typeface="Times New Roman"/>
            </a:rPr>
            <a:pPr algn="ctr"/>
            <a:t>$18,415</a:t>
          </a:fld>
          <a:endParaRPr lang="en-IN" sz="1100">
            <a:ln>
              <a:noFill/>
            </a:ln>
            <a:solidFill>
              <a:schemeClr val="bg1">
                <a:lumMod val="85000"/>
              </a:schemeClr>
            </a:solidFill>
          </a:endParaRPr>
        </a:p>
      </xdr:txBody>
    </xdr:sp>
    <xdr:clientData/>
  </xdr:twoCellAnchor>
  <xdr:twoCellAnchor>
    <xdr:from>
      <xdr:col>0</xdr:col>
      <xdr:colOff>266700</xdr:colOff>
      <xdr:row>12</xdr:row>
      <xdr:rowOff>114300</xdr:rowOff>
    </xdr:from>
    <xdr:to>
      <xdr:col>4</xdr:col>
      <xdr:colOff>304800</xdr:colOff>
      <xdr:row>17</xdr:row>
      <xdr:rowOff>53340</xdr:rowOff>
    </xdr:to>
    <xdr:sp macro="" textlink="PIVOT!C4">
      <xdr:nvSpPr>
        <xdr:cNvPr id="26" name="Rectangle 25">
          <a:extLst>
            <a:ext uri="{FF2B5EF4-FFF2-40B4-BE49-F238E27FC236}">
              <a16:creationId xmlns:a16="http://schemas.microsoft.com/office/drawing/2014/main" id="{A69F4A2B-ECA3-42C9-8639-95370ECB7C9C}"/>
            </a:ext>
          </a:extLst>
        </xdr:cNvPr>
        <xdr:cNvSpPr/>
      </xdr:nvSpPr>
      <xdr:spPr>
        <a:xfrm>
          <a:off x="266700" y="2446020"/>
          <a:ext cx="1577340" cy="815340"/>
        </a:xfrm>
        <a:prstGeom prst="rect">
          <a:avLst/>
        </a:prstGeom>
        <a:solidFill>
          <a:schemeClr val="accent6"/>
        </a:solidFill>
        <a:ln>
          <a:noFill/>
        </a:ln>
        <a:effectLst>
          <a:outerShdw blurRad="2667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A9C8EA-FCB7-4360-99AA-B6C50499A3A5}" type="TxLink">
            <a:rPr lang="en-US" sz="2000" b="1" i="0" u="none" strike="noStrike">
              <a:solidFill>
                <a:schemeClr val="bg1"/>
              </a:solidFill>
              <a:latin typeface="+mj-lt"/>
              <a:ea typeface="+mn-ea"/>
              <a:cs typeface="Times New Roman"/>
            </a:rPr>
            <a:pPr marL="0" indent="0" algn="ctr"/>
            <a:t>89,850</a:t>
          </a:fld>
          <a:endParaRPr lang="en-US" sz="2000" b="1" i="0" u="none" strike="noStrike">
            <a:solidFill>
              <a:schemeClr val="bg1"/>
            </a:solidFill>
            <a:latin typeface="+mj-lt"/>
            <a:ea typeface="+mn-ea"/>
            <a:cs typeface="Times New Roman"/>
          </a:endParaRPr>
        </a:p>
      </xdr:txBody>
    </xdr:sp>
    <xdr:clientData/>
  </xdr:twoCellAnchor>
  <xdr:twoCellAnchor>
    <xdr:from>
      <xdr:col>2</xdr:col>
      <xdr:colOff>152400</xdr:colOff>
      <xdr:row>12</xdr:row>
      <xdr:rowOff>144780</xdr:rowOff>
    </xdr:from>
    <xdr:to>
      <xdr:col>3</xdr:col>
      <xdr:colOff>556260</xdr:colOff>
      <xdr:row>14</xdr:row>
      <xdr:rowOff>0</xdr:rowOff>
    </xdr:to>
    <xdr:sp macro="" textlink="">
      <xdr:nvSpPr>
        <xdr:cNvPr id="27" name="TextBox 26">
          <a:extLst>
            <a:ext uri="{FF2B5EF4-FFF2-40B4-BE49-F238E27FC236}">
              <a16:creationId xmlns:a16="http://schemas.microsoft.com/office/drawing/2014/main" id="{989690FB-648F-41ED-B0EC-58AAE67B29A6}"/>
            </a:ext>
          </a:extLst>
        </xdr:cNvPr>
        <xdr:cNvSpPr txBox="1"/>
      </xdr:nvSpPr>
      <xdr:spPr>
        <a:xfrm>
          <a:off x="472440" y="2476500"/>
          <a:ext cx="1013460" cy="2057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85000"/>
                </a:schemeClr>
              </a:solidFill>
            </a:rPr>
            <a:t>       Duration</a:t>
          </a:r>
        </a:p>
      </xdr:txBody>
    </xdr:sp>
    <xdr:clientData/>
  </xdr:twoCellAnchor>
  <xdr:twoCellAnchor editAs="oneCell">
    <xdr:from>
      <xdr:col>2</xdr:col>
      <xdr:colOff>17988</xdr:colOff>
      <xdr:row>14</xdr:row>
      <xdr:rowOff>60961</xdr:rowOff>
    </xdr:from>
    <xdr:to>
      <xdr:col>2</xdr:col>
      <xdr:colOff>246587</xdr:colOff>
      <xdr:row>15</xdr:row>
      <xdr:rowOff>114300</xdr:rowOff>
    </xdr:to>
    <xdr:pic>
      <xdr:nvPicPr>
        <xdr:cNvPr id="28" name="Graphic 27">
          <a:extLst>
            <a:ext uri="{FF2B5EF4-FFF2-40B4-BE49-F238E27FC236}">
              <a16:creationId xmlns:a16="http://schemas.microsoft.com/office/drawing/2014/main" id="{35D48FAB-C49A-4F6D-A275-7BF7757E9B3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38028" y="2743201"/>
          <a:ext cx="228599" cy="228599"/>
        </a:xfrm>
        <a:prstGeom prst="rect">
          <a:avLst/>
        </a:prstGeom>
      </xdr:spPr>
    </xdr:pic>
    <xdr:clientData/>
  </xdr:twoCellAnchor>
  <xdr:twoCellAnchor>
    <xdr:from>
      <xdr:col>2</xdr:col>
      <xdr:colOff>228600</xdr:colOff>
      <xdr:row>15</xdr:row>
      <xdr:rowOff>144780</xdr:rowOff>
    </xdr:from>
    <xdr:to>
      <xdr:col>4</xdr:col>
      <xdr:colOff>15240</xdr:colOff>
      <xdr:row>16</xdr:row>
      <xdr:rowOff>160020</xdr:rowOff>
    </xdr:to>
    <xdr:sp macro="" textlink="PIVOT!C8">
      <xdr:nvSpPr>
        <xdr:cNvPr id="29" name="TextBox 28">
          <a:extLst>
            <a:ext uri="{FF2B5EF4-FFF2-40B4-BE49-F238E27FC236}">
              <a16:creationId xmlns:a16="http://schemas.microsoft.com/office/drawing/2014/main" id="{885292C8-332E-40C1-B290-1E1AB5CD539F}"/>
            </a:ext>
          </a:extLst>
        </xdr:cNvPr>
        <xdr:cNvSpPr txBox="1"/>
      </xdr:nvSpPr>
      <xdr:spPr>
        <a:xfrm>
          <a:off x="548640" y="3002280"/>
          <a:ext cx="10058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548022-E975-409D-9C1D-0CB0A28BA735}" type="TxLink">
            <a:rPr lang="en-US" sz="1100" b="0" i="0" u="none" strike="noStrike">
              <a:ln>
                <a:noFill/>
              </a:ln>
              <a:solidFill>
                <a:schemeClr val="bg1">
                  <a:lumMod val="85000"/>
                </a:schemeClr>
              </a:solidFill>
              <a:latin typeface="Times New Roman"/>
              <a:cs typeface="Times New Roman"/>
            </a:rPr>
            <a:pPr algn="ctr"/>
            <a:t>16,834</a:t>
          </a:fld>
          <a:endParaRPr lang="en-IN" sz="1100">
            <a:ln>
              <a:noFill/>
            </a:ln>
            <a:solidFill>
              <a:schemeClr val="bg1">
                <a:lumMod val="85000"/>
              </a:schemeClr>
            </a:solidFill>
          </a:endParaRPr>
        </a:p>
      </xdr:txBody>
    </xdr:sp>
    <xdr:clientData/>
  </xdr:twoCellAnchor>
  <xdr:twoCellAnchor>
    <xdr:from>
      <xdr:col>0</xdr:col>
      <xdr:colOff>274320</xdr:colOff>
      <xdr:row>17</xdr:row>
      <xdr:rowOff>129540</xdr:rowOff>
    </xdr:from>
    <xdr:to>
      <xdr:col>4</xdr:col>
      <xdr:colOff>312420</xdr:colOff>
      <xdr:row>22</xdr:row>
      <xdr:rowOff>68580</xdr:rowOff>
    </xdr:to>
    <xdr:sp macro="" textlink="PIVOT!D4">
      <xdr:nvSpPr>
        <xdr:cNvPr id="30" name="Rectangle 29">
          <a:extLst>
            <a:ext uri="{FF2B5EF4-FFF2-40B4-BE49-F238E27FC236}">
              <a16:creationId xmlns:a16="http://schemas.microsoft.com/office/drawing/2014/main" id="{E23F71BA-75EB-49CC-8D1D-665D33C7DBAA}"/>
            </a:ext>
          </a:extLst>
        </xdr:cNvPr>
        <xdr:cNvSpPr/>
      </xdr:nvSpPr>
      <xdr:spPr>
        <a:xfrm>
          <a:off x="274320" y="3337560"/>
          <a:ext cx="1577340" cy="815340"/>
        </a:xfrm>
        <a:prstGeom prst="rect">
          <a:avLst/>
        </a:prstGeom>
        <a:solidFill>
          <a:schemeClr val="accent6"/>
        </a:solidFill>
        <a:ln>
          <a:noFill/>
        </a:ln>
        <a:effectLst>
          <a:outerShdw blurRad="2667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D55861-AA84-4E9A-A3ED-314DA40E00B4}" type="TxLink">
            <a:rPr lang="en-US" sz="2000" b="1" i="0" u="none" strike="noStrike">
              <a:solidFill>
                <a:schemeClr val="bg1"/>
              </a:solidFill>
              <a:latin typeface="+mj-lt"/>
              <a:ea typeface="+mn-ea"/>
              <a:cs typeface="Times New Roman"/>
            </a:rPr>
            <a:pPr marL="0" indent="0" algn="ctr"/>
            <a:t>3.9</a:t>
          </a:fld>
          <a:endParaRPr lang="en-US" sz="2000" b="1" i="0" u="none" strike="noStrike">
            <a:solidFill>
              <a:schemeClr val="bg1"/>
            </a:solidFill>
            <a:latin typeface="+mj-lt"/>
            <a:ea typeface="+mn-ea"/>
            <a:cs typeface="Times New Roman"/>
          </a:endParaRPr>
        </a:p>
      </xdr:txBody>
    </xdr:sp>
    <xdr:clientData/>
  </xdr:twoCellAnchor>
  <xdr:twoCellAnchor>
    <xdr:from>
      <xdr:col>2</xdr:col>
      <xdr:colOff>243840</xdr:colOff>
      <xdr:row>17</xdr:row>
      <xdr:rowOff>137160</xdr:rowOff>
    </xdr:from>
    <xdr:to>
      <xdr:col>4</xdr:col>
      <xdr:colOff>38100</xdr:colOff>
      <xdr:row>18</xdr:row>
      <xdr:rowOff>167640</xdr:rowOff>
    </xdr:to>
    <xdr:sp macro="" textlink="">
      <xdr:nvSpPr>
        <xdr:cNvPr id="31" name="TextBox 30">
          <a:extLst>
            <a:ext uri="{FF2B5EF4-FFF2-40B4-BE49-F238E27FC236}">
              <a16:creationId xmlns:a16="http://schemas.microsoft.com/office/drawing/2014/main" id="{A5515305-35C7-4EB2-8946-9681C0B11670}"/>
            </a:ext>
          </a:extLst>
        </xdr:cNvPr>
        <xdr:cNvSpPr txBox="1"/>
      </xdr:nvSpPr>
      <xdr:spPr>
        <a:xfrm>
          <a:off x="563880" y="3345180"/>
          <a:ext cx="1013460" cy="2057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Avg</a:t>
          </a:r>
          <a:r>
            <a:rPr lang="en-IN" sz="1100" baseline="0">
              <a:solidFill>
                <a:schemeClr val="bg1"/>
              </a:solidFill>
            </a:rPr>
            <a:t> </a:t>
          </a:r>
          <a:r>
            <a:rPr lang="en-IN" sz="1100">
              <a:solidFill>
                <a:schemeClr val="bg1"/>
              </a:solidFill>
            </a:rPr>
            <a:t>Rating</a:t>
          </a:r>
        </a:p>
      </xdr:txBody>
    </xdr:sp>
    <xdr:clientData/>
  </xdr:twoCellAnchor>
  <xdr:twoCellAnchor editAs="oneCell">
    <xdr:from>
      <xdr:col>2</xdr:col>
      <xdr:colOff>109428</xdr:colOff>
      <xdr:row>19</xdr:row>
      <xdr:rowOff>91441</xdr:rowOff>
    </xdr:from>
    <xdr:to>
      <xdr:col>2</xdr:col>
      <xdr:colOff>330407</xdr:colOff>
      <xdr:row>20</xdr:row>
      <xdr:rowOff>137160</xdr:rowOff>
    </xdr:to>
    <xdr:pic>
      <xdr:nvPicPr>
        <xdr:cNvPr id="32" name="Graphic 31">
          <a:extLst>
            <a:ext uri="{FF2B5EF4-FFF2-40B4-BE49-F238E27FC236}">
              <a16:creationId xmlns:a16="http://schemas.microsoft.com/office/drawing/2014/main" id="{BB613249-50F7-4D1C-86F5-92ED835435C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29468" y="3649981"/>
          <a:ext cx="220979" cy="220979"/>
        </a:xfrm>
        <a:prstGeom prst="rect">
          <a:avLst/>
        </a:prstGeom>
      </xdr:spPr>
    </xdr:pic>
    <xdr:clientData/>
  </xdr:twoCellAnchor>
  <xdr:twoCellAnchor>
    <xdr:from>
      <xdr:col>2</xdr:col>
      <xdr:colOff>236220</xdr:colOff>
      <xdr:row>20</xdr:row>
      <xdr:rowOff>83820</xdr:rowOff>
    </xdr:from>
    <xdr:to>
      <xdr:col>4</xdr:col>
      <xdr:colOff>22860</xdr:colOff>
      <xdr:row>22</xdr:row>
      <xdr:rowOff>45720</xdr:rowOff>
    </xdr:to>
    <xdr:sp macro="" textlink="PIVOT!D8">
      <xdr:nvSpPr>
        <xdr:cNvPr id="33" name="TextBox 32">
          <a:extLst>
            <a:ext uri="{FF2B5EF4-FFF2-40B4-BE49-F238E27FC236}">
              <a16:creationId xmlns:a16="http://schemas.microsoft.com/office/drawing/2014/main" id="{1FAC69AE-5B86-4B65-A63A-985BB643B70C}"/>
            </a:ext>
          </a:extLst>
        </xdr:cNvPr>
        <xdr:cNvSpPr txBox="1"/>
      </xdr:nvSpPr>
      <xdr:spPr>
        <a:xfrm>
          <a:off x="556260" y="3817620"/>
          <a:ext cx="1005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8FC12C-E705-4650-8722-A5B7770886E1}" type="TxLink">
            <a:rPr lang="en-US" sz="1100" b="0" i="0" u="none" strike="noStrike">
              <a:ln>
                <a:noFill/>
              </a:ln>
              <a:solidFill>
                <a:schemeClr val="bg1">
                  <a:lumMod val="85000"/>
                </a:schemeClr>
              </a:solidFill>
              <a:latin typeface="Times New Roman"/>
              <a:cs typeface="Times New Roman"/>
            </a:rPr>
            <a:pPr algn="ctr"/>
            <a:t>3.9</a:t>
          </a:fld>
          <a:endParaRPr lang="en-IN" sz="1100">
            <a:ln>
              <a:noFill/>
            </a:ln>
            <a:solidFill>
              <a:schemeClr val="bg1">
                <a:lumMod val="85000"/>
              </a:schemeClr>
            </a:solidFill>
          </a:endParaRPr>
        </a:p>
      </xdr:txBody>
    </xdr:sp>
    <xdr:clientData/>
  </xdr:twoCellAnchor>
  <xdr:twoCellAnchor>
    <xdr:from>
      <xdr:col>1</xdr:col>
      <xdr:colOff>0</xdr:colOff>
      <xdr:row>23</xdr:row>
      <xdr:rowOff>0</xdr:rowOff>
    </xdr:from>
    <xdr:to>
      <xdr:col>4</xdr:col>
      <xdr:colOff>320040</xdr:colOff>
      <xdr:row>27</xdr:row>
      <xdr:rowOff>114300</xdr:rowOff>
    </xdr:to>
    <xdr:sp macro="" textlink="PIVOT!E4">
      <xdr:nvSpPr>
        <xdr:cNvPr id="34" name="Rectangle 33">
          <a:extLst>
            <a:ext uri="{FF2B5EF4-FFF2-40B4-BE49-F238E27FC236}">
              <a16:creationId xmlns:a16="http://schemas.microsoft.com/office/drawing/2014/main" id="{CB7B6203-CCCD-424F-92ED-5CEE9667A1CC}"/>
            </a:ext>
          </a:extLst>
        </xdr:cNvPr>
        <xdr:cNvSpPr/>
      </xdr:nvSpPr>
      <xdr:spPr>
        <a:xfrm>
          <a:off x="281940" y="4259580"/>
          <a:ext cx="1577340" cy="815340"/>
        </a:xfrm>
        <a:prstGeom prst="rect">
          <a:avLst/>
        </a:prstGeom>
        <a:solidFill>
          <a:schemeClr val="accent6"/>
        </a:solidFill>
        <a:ln>
          <a:noFill/>
        </a:ln>
        <a:effectLst>
          <a:outerShdw blurRad="2667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6862636-6209-4472-B55B-9AC77362E015}" type="TxLink">
            <a:rPr lang="en-US" sz="2000" b="1" i="0" u="none" strike="noStrike">
              <a:solidFill>
                <a:schemeClr val="bg1"/>
              </a:solidFill>
              <a:latin typeface="+mj-lt"/>
              <a:ea typeface="+mn-ea"/>
              <a:cs typeface="Times New Roman"/>
            </a:rPr>
            <a:pPr marL="0" indent="0" algn="ctr"/>
            <a:t>307</a:t>
          </a:fld>
          <a:endParaRPr lang="en-US" sz="2000" b="1" i="0" u="none" strike="noStrike">
            <a:solidFill>
              <a:schemeClr val="bg1"/>
            </a:solidFill>
            <a:latin typeface="+mj-lt"/>
            <a:ea typeface="+mn-ea"/>
            <a:cs typeface="Times New Roman"/>
          </a:endParaRPr>
        </a:p>
      </xdr:txBody>
    </xdr:sp>
    <xdr:clientData/>
  </xdr:twoCellAnchor>
  <xdr:twoCellAnchor>
    <xdr:from>
      <xdr:col>2</xdr:col>
      <xdr:colOff>198120</xdr:colOff>
      <xdr:row>22</xdr:row>
      <xdr:rowOff>152400</xdr:rowOff>
    </xdr:from>
    <xdr:to>
      <xdr:col>4</xdr:col>
      <xdr:colOff>114300</xdr:colOff>
      <xdr:row>24</xdr:row>
      <xdr:rowOff>30480</xdr:rowOff>
    </xdr:to>
    <xdr:sp macro="" textlink="">
      <xdr:nvSpPr>
        <xdr:cNvPr id="35" name="TextBox 34">
          <a:extLst>
            <a:ext uri="{FF2B5EF4-FFF2-40B4-BE49-F238E27FC236}">
              <a16:creationId xmlns:a16="http://schemas.microsoft.com/office/drawing/2014/main" id="{7D9199F1-0A6F-4AA7-B9DC-C26BE46AE4CD}"/>
            </a:ext>
          </a:extLst>
        </xdr:cNvPr>
        <xdr:cNvSpPr txBox="1"/>
      </xdr:nvSpPr>
      <xdr:spPr>
        <a:xfrm>
          <a:off x="518160" y="4236720"/>
          <a:ext cx="113538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Happy </a:t>
          </a:r>
          <a:r>
            <a:rPr lang="en-IN" sz="1100" baseline="0">
              <a:solidFill>
                <a:schemeClr val="bg1">
                  <a:lumMod val="95000"/>
                </a:schemeClr>
              </a:solidFill>
            </a:rPr>
            <a:t>Callers</a:t>
          </a:r>
          <a:endParaRPr lang="en-IN" sz="1100">
            <a:solidFill>
              <a:schemeClr val="bg1">
                <a:lumMod val="95000"/>
              </a:schemeClr>
            </a:solidFill>
          </a:endParaRPr>
        </a:p>
      </xdr:txBody>
    </xdr:sp>
    <xdr:clientData/>
  </xdr:twoCellAnchor>
  <xdr:twoCellAnchor editAs="oneCell">
    <xdr:from>
      <xdr:col>2</xdr:col>
      <xdr:colOff>170388</xdr:colOff>
      <xdr:row>24</xdr:row>
      <xdr:rowOff>167641</xdr:rowOff>
    </xdr:from>
    <xdr:to>
      <xdr:col>2</xdr:col>
      <xdr:colOff>368507</xdr:colOff>
      <xdr:row>26</xdr:row>
      <xdr:rowOff>15240</xdr:rowOff>
    </xdr:to>
    <xdr:pic>
      <xdr:nvPicPr>
        <xdr:cNvPr id="36" name="Graphic 35">
          <a:extLst>
            <a:ext uri="{FF2B5EF4-FFF2-40B4-BE49-F238E27FC236}">
              <a16:creationId xmlns:a16="http://schemas.microsoft.com/office/drawing/2014/main" id="{47A32EBF-BE45-4AC0-B426-864FA78AC7E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90428" y="4602481"/>
          <a:ext cx="198119" cy="198119"/>
        </a:xfrm>
        <a:prstGeom prst="rect">
          <a:avLst/>
        </a:prstGeom>
      </xdr:spPr>
    </xdr:pic>
    <xdr:clientData/>
  </xdr:twoCellAnchor>
  <xdr:twoCellAnchor>
    <xdr:from>
      <xdr:col>2</xdr:col>
      <xdr:colOff>266700</xdr:colOff>
      <xdr:row>26</xdr:row>
      <xdr:rowOff>15240</xdr:rowOff>
    </xdr:from>
    <xdr:to>
      <xdr:col>4</xdr:col>
      <xdr:colOff>53340</xdr:colOff>
      <xdr:row>27</xdr:row>
      <xdr:rowOff>30480</xdr:rowOff>
    </xdr:to>
    <xdr:sp macro="" textlink="PIVOT!E8">
      <xdr:nvSpPr>
        <xdr:cNvPr id="37" name="TextBox 36">
          <a:extLst>
            <a:ext uri="{FF2B5EF4-FFF2-40B4-BE49-F238E27FC236}">
              <a16:creationId xmlns:a16="http://schemas.microsoft.com/office/drawing/2014/main" id="{0FCE5FB2-CC83-494C-B600-28BB1EB32A30}"/>
            </a:ext>
          </a:extLst>
        </xdr:cNvPr>
        <xdr:cNvSpPr txBox="1"/>
      </xdr:nvSpPr>
      <xdr:spPr>
        <a:xfrm>
          <a:off x="586740" y="4800600"/>
          <a:ext cx="10058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3206D9-33B6-4B75-9488-95C5F0431904}" type="TxLink">
            <a:rPr lang="en-US" sz="1100" b="0" i="0" u="none" strike="noStrike">
              <a:ln>
                <a:noFill/>
              </a:ln>
              <a:solidFill>
                <a:schemeClr val="bg1">
                  <a:lumMod val="85000"/>
                </a:schemeClr>
              </a:solidFill>
              <a:latin typeface="Times New Roman"/>
              <a:cs typeface="Times New Roman"/>
            </a:rPr>
            <a:pPr algn="ctr"/>
            <a:t>60</a:t>
          </a:fld>
          <a:endParaRPr lang="en-IN" sz="1100">
            <a:ln>
              <a:noFill/>
            </a:ln>
            <a:solidFill>
              <a:schemeClr val="bg1">
                <a:lumMod val="85000"/>
              </a:schemeClr>
            </a:solidFill>
          </a:endParaRPr>
        </a:p>
      </xdr:txBody>
    </xdr:sp>
    <xdr:clientData/>
  </xdr:twoCellAnchor>
  <xdr:twoCellAnchor editAs="oneCell">
    <xdr:from>
      <xdr:col>1</xdr:col>
      <xdr:colOff>16491</xdr:colOff>
      <xdr:row>9</xdr:row>
      <xdr:rowOff>45720</xdr:rowOff>
    </xdr:from>
    <xdr:to>
      <xdr:col>2</xdr:col>
      <xdr:colOff>272490</xdr:colOff>
      <xdr:row>10</xdr:row>
      <xdr:rowOff>38100</xdr:rowOff>
    </xdr:to>
    <xdr:pic>
      <xdr:nvPicPr>
        <xdr:cNvPr id="42" name="Graphic 41" descr="Shopping cart with solid fill">
          <a:extLst>
            <a:ext uri="{FF2B5EF4-FFF2-40B4-BE49-F238E27FC236}">
              <a16:creationId xmlns:a16="http://schemas.microsoft.com/office/drawing/2014/main" id="{B9490067-7DFD-4BE5-A66E-3B97989382F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98431" y="1851660"/>
          <a:ext cx="294099" cy="167640"/>
        </a:xfrm>
        <a:prstGeom prst="rect">
          <a:avLst/>
        </a:prstGeom>
      </xdr:spPr>
    </xdr:pic>
    <xdr:clientData/>
  </xdr:twoCellAnchor>
  <xdr:twoCellAnchor>
    <xdr:from>
      <xdr:col>5</xdr:col>
      <xdr:colOff>114300</xdr:colOff>
      <xdr:row>1</xdr:row>
      <xdr:rowOff>53340</xdr:rowOff>
    </xdr:from>
    <xdr:to>
      <xdr:col>10</xdr:col>
      <xdr:colOff>563880</xdr:colOff>
      <xdr:row>11</xdr:row>
      <xdr:rowOff>45720</xdr:rowOff>
    </xdr:to>
    <xdr:graphicFrame macro="">
      <xdr:nvGraphicFramePr>
        <xdr:cNvPr id="44" name="Chart 43">
          <a:extLst>
            <a:ext uri="{FF2B5EF4-FFF2-40B4-BE49-F238E27FC236}">
              <a16:creationId xmlns:a16="http://schemas.microsoft.com/office/drawing/2014/main" id="{BAAB07AF-3569-4A9E-8897-34721D761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579120</xdr:colOff>
      <xdr:row>1</xdr:row>
      <xdr:rowOff>60960</xdr:rowOff>
    </xdr:from>
    <xdr:to>
      <xdr:col>15</xdr:col>
      <xdr:colOff>7620</xdr:colOff>
      <xdr:row>11</xdr:row>
      <xdr:rowOff>38100</xdr:rowOff>
    </xdr:to>
    <xdr:graphicFrame macro="">
      <xdr:nvGraphicFramePr>
        <xdr:cNvPr id="45" name="Chart 44">
          <a:extLst>
            <a:ext uri="{FF2B5EF4-FFF2-40B4-BE49-F238E27FC236}">
              <a16:creationId xmlns:a16="http://schemas.microsoft.com/office/drawing/2014/main" id="{4A6F9565-1D1C-4504-9A22-DA5159264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411480</xdr:colOff>
      <xdr:row>11</xdr:row>
      <xdr:rowOff>91440</xdr:rowOff>
    </xdr:from>
    <xdr:to>
      <xdr:col>9</xdr:col>
      <xdr:colOff>373380</xdr:colOff>
      <xdr:row>27</xdr:row>
      <xdr:rowOff>22860</xdr:rowOff>
    </xdr:to>
    <xdr:graphicFrame macro="">
      <xdr:nvGraphicFramePr>
        <xdr:cNvPr id="19" name="Chart 18">
          <a:extLst>
            <a:ext uri="{FF2B5EF4-FFF2-40B4-BE49-F238E27FC236}">
              <a16:creationId xmlns:a16="http://schemas.microsoft.com/office/drawing/2014/main" id="{1228E625-40AB-4E15-A19C-E9F24C3B7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312420</xdr:colOff>
      <xdr:row>11</xdr:row>
      <xdr:rowOff>99060</xdr:rowOff>
    </xdr:from>
    <xdr:to>
      <xdr:col>14</xdr:col>
      <xdr:colOff>99060</xdr:colOff>
      <xdr:row>27</xdr:row>
      <xdr:rowOff>30480</xdr:rowOff>
    </xdr:to>
    <xdr:graphicFrame macro="">
      <xdr:nvGraphicFramePr>
        <xdr:cNvPr id="20" name="Chart 19">
          <a:extLst>
            <a:ext uri="{FF2B5EF4-FFF2-40B4-BE49-F238E27FC236}">
              <a16:creationId xmlns:a16="http://schemas.microsoft.com/office/drawing/2014/main" id="{8571C3A6-2C5D-4A90-A990-98D0DF8D3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60960</xdr:colOff>
      <xdr:row>1</xdr:row>
      <xdr:rowOff>60960</xdr:rowOff>
    </xdr:from>
    <xdr:to>
      <xdr:col>18</xdr:col>
      <xdr:colOff>335280</xdr:colOff>
      <xdr:row>11</xdr:row>
      <xdr:rowOff>22860</xdr:rowOff>
    </xdr:to>
    <xdr:graphicFrame macro="">
      <xdr:nvGraphicFramePr>
        <xdr:cNvPr id="21" name="Chart 20">
          <a:extLst>
            <a:ext uri="{FF2B5EF4-FFF2-40B4-BE49-F238E27FC236}">
              <a16:creationId xmlns:a16="http://schemas.microsoft.com/office/drawing/2014/main" id="{DEB74E2B-29A8-40D2-BEED-78C30D1BA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411480</xdr:colOff>
      <xdr:row>1</xdr:row>
      <xdr:rowOff>60960</xdr:rowOff>
    </xdr:from>
    <xdr:to>
      <xdr:col>23</xdr:col>
      <xdr:colOff>198120</xdr:colOff>
      <xdr:row>11</xdr:row>
      <xdr:rowOff>30480</xdr:rowOff>
    </xdr:to>
    <xdr:graphicFrame macro="">
      <xdr:nvGraphicFramePr>
        <xdr:cNvPr id="38" name="Chart 37">
          <a:extLst>
            <a:ext uri="{FF2B5EF4-FFF2-40B4-BE49-F238E27FC236}">
              <a16:creationId xmlns:a16="http://schemas.microsoft.com/office/drawing/2014/main" id="{F825A2C4-E662-47F1-A8BC-C4C280E3F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677880</xdr:colOff>
      <xdr:row>43</xdr:row>
      <xdr:rowOff>152340</xdr:rowOff>
    </xdr:from>
    <xdr:to>
      <xdr:col>0</xdr:col>
      <xdr:colOff>678240</xdr:colOff>
      <xdr:row>43</xdr:row>
      <xdr:rowOff>152700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2" name="Ink 11">
              <a:extLst>
                <a:ext uri="{FF2B5EF4-FFF2-40B4-BE49-F238E27FC236}">
                  <a16:creationId xmlns:a16="http://schemas.microsoft.com/office/drawing/2014/main" id="{1212942C-65F7-3981-D487-78C9656F2019}"/>
                </a:ext>
              </a:extLst>
            </xdr14:cNvPr>
            <xdr14:cNvContentPartPr/>
          </xdr14:nvContentPartPr>
          <xdr14:nvPr macro=""/>
          <xdr14:xfrm>
            <a:off x="677880" y="7688520"/>
            <a:ext cx="360" cy="360"/>
          </xdr14:xfrm>
        </xdr:contentPart>
      </mc:Choice>
      <mc:Fallback xmlns="">
        <xdr:pic>
          <xdr:nvPicPr>
            <xdr:cNvPr id="12" name="Ink 11">
              <a:extLst>
                <a:ext uri="{FF2B5EF4-FFF2-40B4-BE49-F238E27FC236}">
                  <a16:creationId xmlns:a16="http://schemas.microsoft.com/office/drawing/2014/main" id="{1212942C-65F7-3981-D487-78C9656F2019}"/>
                </a:ext>
              </a:extLst>
            </xdr:cNvPr>
            <xdr:cNvPicPr/>
          </xdr:nvPicPr>
          <xdr:blipFill>
            <a:blip xmlns:r="http://schemas.openxmlformats.org/officeDocument/2006/relationships" r:embed="rId2"/>
            <a:stretch>
              <a:fillRect/>
            </a:stretch>
          </xdr:blipFill>
          <xdr:spPr>
            <a:xfrm>
              <a:off x="671760" y="7682400"/>
              <a:ext cx="12600" cy="12600"/>
            </a:xfrm>
            <a:prstGeom prst="rect">
              <a:avLst/>
            </a:prstGeom>
          </xdr:spPr>
        </xdr:pic>
      </mc:Fallback>
    </mc:AlternateContent>
    <xdr:clientData/>
  </xdr:twoCellAnchor>
  <xdr:twoCellAnchor editAs="oneCell">
    <xdr:from>
      <xdr:col>2</xdr:col>
      <xdr:colOff>548340</xdr:colOff>
      <xdr:row>41</xdr:row>
      <xdr:rowOff>167340</xdr:rowOff>
    </xdr:from>
    <xdr:to>
      <xdr:col>2</xdr:col>
      <xdr:colOff>548700</xdr:colOff>
      <xdr:row>41</xdr:row>
      <xdr:rowOff>167700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3" name="Ink 12">
              <a:extLst>
                <a:ext uri="{FF2B5EF4-FFF2-40B4-BE49-F238E27FC236}">
                  <a16:creationId xmlns:a16="http://schemas.microsoft.com/office/drawing/2014/main" id="{1321D5C2-354E-809B-80CD-EBF2A0C910F1}"/>
                </a:ext>
              </a:extLst>
            </xdr14:cNvPr>
            <xdr14:cNvContentPartPr/>
          </xdr14:nvContentPartPr>
          <xdr14:nvPr macro=""/>
          <xdr14:xfrm>
            <a:off x="2186640" y="7353000"/>
            <a:ext cx="360" cy="360"/>
          </xdr14:xfrm>
        </xdr:contentPart>
      </mc:Choice>
      <mc:Fallback xmlns="">
        <xdr:pic>
          <xdr:nvPicPr>
            <xdr:cNvPr id="13" name="Ink 12">
              <a:extLst>
                <a:ext uri="{FF2B5EF4-FFF2-40B4-BE49-F238E27FC236}">
                  <a16:creationId xmlns:a16="http://schemas.microsoft.com/office/drawing/2014/main" id="{1321D5C2-354E-809B-80CD-EBF2A0C910F1}"/>
                </a:ext>
              </a:extLst>
            </xdr:cNvPr>
            <xdr:cNvPicPr/>
          </xdr:nvPicPr>
          <xdr:blipFill>
            <a:blip xmlns:r="http://schemas.openxmlformats.org/officeDocument/2006/relationships" r:embed="rId2"/>
            <a:stretch>
              <a:fillRect/>
            </a:stretch>
          </xdr:blipFill>
          <xdr:spPr>
            <a:xfrm>
              <a:off x="2180520" y="7346880"/>
              <a:ext cx="12600" cy="12600"/>
            </a:xfrm>
            <a:prstGeom prst="rect">
              <a:avLst/>
            </a:prstGeom>
          </xdr:spPr>
        </xdr:pic>
      </mc:Fallback>
    </mc:AlternateContent>
    <xdr:clientData/>
  </xdr:twoCellAnchor>
  <xdr:twoCellAnchor editAs="oneCell">
    <xdr:from>
      <xdr:col>6</xdr:col>
      <xdr:colOff>83640</xdr:colOff>
      <xdr:row>32</xdr:row>
      <xdr:rowOff>60600</xdr:rowOff>
    </xdr:from>
    <xdr:to>
      <xdr:col>6</xdr:col>
      <xdr:colOff>84000</xdr:colOff>
      <xdr:row>32</xdr:row>
      <xdr:rowOff>60960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4" name="Ink 13">
              <a:extLst>
                <a:ext uri="{FF2B5EF4-FFF2-40B4-BE49-F238E27FC236}">
                  <a16:creationId xmlns:a16="http://schemas.microsoft.com/office/drawing/2014/main" id="{8607E38C-BAD0-A304-4A7D-FB73E6821839}"/>
                </a:ext>
              </a:extLst>
            </xdr14:cNvPr>
            <xdr14:cNvContentPartPr/>
          </xdr14:nvContentPartPr>
          <xdr14:nvPr macro=""/>
          <xdr14:xfrm>
            <a:off x="4457520" y="5668920"/>
            <a:ext cx="360" cy="360"/>
          </xdr14:xfrm>
        </xdr:contentPart>
      </mc:Choice>
      <mc:Fallback xmlns="">
        <xdr:pic>
          <xdr:nvPicPr>
            <xdr:cNvPr id="14" name="Ink 13">
              <a:extLst>
                <a:ext uri="{FF2B5EF4-FFF2-40B4-BE49-F238E27FC236}">
                  <a16:creationId xmlns:a16="http://schemas.microsoft.com/office/drawing/2014/main" id="{8607E38C-BAD0-A304-4A7D-FB73E6821839}"/>
                </a:ext>
              </a:extLst>
            </xdr:cNvPr>
            <xdr:cNvPicPr/>
          </xdr:nvPicPr>
          <xdr:blipFill>
            <a:blip xmlns:r="http://schemas.openxmlformats.org/officeDocument/2006/relationships" r:embed="rId2"/>
            <a:stretch>
              <a:fillRect/>
            </a:stretch>
          </xdr:blipFill>
          <xdr:spPr>
            <a:xfrm>
              <a:off x="4451400" y="5662800"/>
              <a:ext cx="12600" cy="12600"/>
            </a:xfrm>
            <a:prstGeom prst="rect">
              <a:avLst/>
            </a:prstGeom>
          </xdr:spPr>
        </xdr:pic>
      </mc:Fallback>
    </mc:AlternateContent>
    <xdr:clientData/>
  </xdr:twoCellAnchor>
  <xdr:twoCellAnchor editAs="oneCell">
    <xdr:from>
      <xdr:col>7</xdr:col>
      <xdr:colOff>37920</xdr:colOff>
      <xdr:row>29</xdr:row>
      <xdr:rowOff>114060</xdr:rowOff>
    </xdr:from>
    <xdr:to>
      <xdr:col>7</xdr:col>
      <xdr:colOff>38280</xdr:colOff>
      <xdr:row>29</xdr:row>
      <xdr:rowOff>114420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7" name="Ink 16">
              <a:extLst>
                <a:ext uri="{FF2B5EF4-FFF2-40B4-BE49-F238E27FC236}">
                  <a16:creationId xmlns:a16="http://schemas.microsoft.com/office/drawing/2014/main" id="{EE56C7D3-552F-2A01-4702-6619B583009B}"/>
                </a:ext>
              </a:extLst>
            </xdr14:cNvPr>
            <xdr14:cNvContentPartPr/>
          </xdr14:nvContentPartPr>
          <xdr14:nvPr macro=""/>
          <xdr14:xfrm>
            <a:off x="5326200" y="5196600"/>
            <a:ext cx="360" cy="360"/>
          </xdr14:xfrm>
        </xdr:contentPart>
      </mc:Choice>
      <mc:Fallback xmlns="">
        <xdr:pic>
          <xdr:nvPicPr>
            <xdr:cNvPr id="17" name="Ink 16">
              <a:extLst>
                <a:ext uri="{FF2B5EF4-FFF2-40B4-BE49-F238E27FC236}">
                  <a16:creationId xmlns:a16="http://schemas.microsoft.com/office/drawing/2014/main" id="{EE56C7D3-552F-2A01-4702-6619B583009B}"/>
                </a:ext>
              </a:extLst>
            </xdr:cNvPr>
            <xdr:cNvPicPr/>
          </xdr:nvPicPr>
          <xdr:blipFill>
            <a:blip xmlns:r="http://schemas.openxmlformats.org/officeDocument/2006/relationships" r:embed="rId2"/>
            <a:stretch>
              <a:fillRect/>
            </a:stretch>
          </xdr:blipFill>
          <xdr:spPr>
            <a:xfrm>
              <a:off x="5320080" y="5190480"/>
              <a:ext cx="12600" cy="12600"/>
            </a:xfrm>
            <a:prstGeom prst="rect">
              <a:avLst/>
            </a:prstGeom>
          </xdr:spPr>
        </xdr:pic>
      </mc:Fallback>
    </mc:AlternateContent>
    <xdr:clientData/>
  </xdr:twoCellAnchor>
  <xdr:twoCellAnchor editAs="oneCell">
    <xdr:from>
      <xdr:col>1</xdr:col>
      <xdr:colOff>693360</xdr:colOff>
      <xdr:row>26</xdr:row>
      <xdr:rowOff>98760</xdr:rowOff>
    </xdr:from>
    <xdr:to>
      <xdr:col>1</xdr:col>
      <xdr:colOff>693720</xdr:colOff>
      <xdr:row>26</xdr:row>
      <xdr:rowOff>99120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8" name="Ink 17">
              <a:extLst>
                <a:ext uri="{FF2B5EF4-FFF2-40B4-BE49-F238E27FC236}">
                  <a16:creationId xmlns:a16="http://schemas.microsoft.com/office/drawing/2014/main" id="{B3D337A3-2D94-54E4-2974-131C6BDF1ADB}"/>
                </a:ext>
              </a:extLst>
            </xdr14:cNvPr>
            <xdr14:cNvContentPartPr/>
          </xdr14:nvContentPartPr>
          <xdr14:nvPr macro=""/>
          <xdr14:xfrm>
            <a:off x="1607760" y="4655520"/>
            <a:ext cx="360" cy="360"/>
          </xdr14:xfrm>
        </xdr:contentPart>
      </mc:Choice>
      <mc:Fallback xmlns="">
        <xdr:pic>
          <xdr:nvPicPr>
            <xdr:cNvPr id="18" name="Ink 17">
              <a:extLst>
                <a:ext uri="{FF2B5EF4-FFF2-40B4-BE49-F238E27FC236}">
                  <a16:creationId xmlns:a16="http://schemas.microsoft.com/office/drawing/2014/main" id="{B3D337A3-2D94-54E4-2974-131C6BDF1ADB}"/>
                </a:ext>
              </a:extLst>
            </xdr:cNvPr>
            <xdr:cNvPicPr/>
          </xdr:nvPicPr>
          <xdr:blipFill>
            <a:blip xmlns:r="http://schemas.openxmlformats.org/officeDocument/2006/relationships" r:embed="rId2"/>
            <a:stretch>
              <a:fillRect/>
            </a:stretch>
          </xdr:blipFill>
          <xdr:spPr>
            <a:xfrm>
              <a:off x="1601640" y="4649400"/>
              <a:ext cx="12600" cy="12600"/>
            </a:xfrm>
            <a:prstGeom prst="rect">
              <a:avLst/>
            </a:prstGeom>
          </xdr:spPr>
        </xdr:pic>
      </mc:Fallback>
    </mc:AlternateContent>
    <xdr:clientData/>
  </xdr:twoCellAnchor>
  <xdr:twoCellAnchor editAs="oneCell">
    <xdr:from>
      <xdr:col>4</xdr:col>
      <xdr:colOff>411300</xdr:colOff>
      <xdr:row>28</xdr:row>
      <xdr:rowOff>167280</xdr:rowOff>
    </xdr:from>
    <xdr:to>
      <xdr:col>4</xdr:col>
      <xdr:colOff>411660</xdr:colOff>
      <xdr:row>28</xdr:row>
      <xdr:rowOff>167640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9" name="Ink 18">
              <a:extLst>
                <a:ext uri="{FF2B5EF4-FFF2-40B4-BE49-F238E27FC236}">
                  <a16:creationId xmlns:a16="http://schemas.microsoft.com/office/drawing/2014/main" id="{D8B536C7-1E18-960F-729F-142F2798C302}"/>
                </a:ext>
              </a:extLst>
            </xdr14:cNvPr>
            <xdr14:cNvContentPartPr/>
          </xdr14:nvContentPartPr>
          <xdr14:nvPr macro=""/>
          <xdr14:xfrm>
            <a:off x="3634560" y="5074560"/>
            <a:ext cx="360" cy="360"/>
          </xdr14:xfrm>
        </xdr:contentPart>
      </mc:Choice>
      <mc:Fallback xmlns="">
        <xdr:pic>
          <xdr:nvPicPr>
            <xdr:cNvPr id="19" name="Ink 18">
              <a:extLst>
                <a:ext uri="{FF2B5EF4-FFF2-40B4-BE49-F238E27FC236}">
                  <a16:creationId xmlns:a16="http://schemas.microsoft.com/office/drawing/2014/main" id="{D8B536C7-1E18-960F-729F-142F2798C302}"/>
                </a:ext>
              </a:extLst>
            </xdr:cNvPr>
            <xdr:cNvPicPr/>
          </xdr:nvPicPr>
          <xdr:blipFill>
            <a:blip xmlns:r="http://schemas.openxmlformats.org/officeDocument/2006/relationships" r:embed="rId2"/>
            <a:stretch>
              <a:fillRect/>
            </a:stretch>
          </xdr:blipFill>
          <xdr:spPr>
            <a:xfrm>
              <a:off x="3628440" y="5068440"/>
              <a:ext cx="12600" cy="12600"/>
            </a:xfrm>
            <a:prstGeom prst="rect">
              <a:avLst/>
            </a:prstGeom>
          </xdr:spPr>
        </xdr:pic>
      </mc:Fallback>
    </mc:AlternateContent>
    <xdr:clientData/>
  </xdr:twoCellAnchor>
  <xdr:twoCellAnchor editAs="oneCell">
    <xdr:from>
      <xdr:col>4</xdr:col>
      <xdr:colOff>449460</xdr:colOff>
      <xdr:row>39</xdr:row>
      <xdr:rowOff>106380</xdr:rowOff>
    </xdr:from>
    <xdr:to>
      <xdr:col>4</xdr:col>
      <xdr:colOff>449820</xdr:colOff>
      <xdr:row>39</xdr:row>
      <xdr:rowOff>106740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0" name="Ink 19">
              <a:extLst>
                <a:ext uri="{FF2B5EF4-FFF2-40B4-BE49-F238E27FC236}">
                  <a16:creationId xmlns:a16="http://schemas.microsoft.com/office/drawing/2014/main" id="{596785F2-C1B2-1418-8075-6C8109B9A798}"/>
                </a:ext>
              </a:extLst>
            </xdr14:cNvPr>
            <xdr14:cNvContentPartPr/>
          </xdr14:nvContentPartPr>
          <xdr14:nvPr macro=""/>
          <xdr14:xfrm>
            <a:off x="3672720" y="6941520"/>
            <a:ext cx="360" cy="360"/>
          </xdr14:xfrm>
        </xdr:contentPart>
      </mc:Choice>
      <mc:Fallback xmlns="">
        <xdr:pic>
          <xdr:nvPicPr>
            <xdr:cNvPr id="20" name="Ink 19">
              <a:extLst>
                <a:ext uri="{FF2B5EF4-FFF2-40B4-BE49-F238E27FC236}">
                  <a16:creationId xmlns:a16="http://schemas.microsoft.com/office/drawing/2014/main" id="{596785F2-C1B2-1418-8075-6C8109B9A798}"/>
                </a:ext>
              </a:extLst>
            </xdr:cNvPr>
            <xdr:cNvPicPr/>
          </xdr:nvPicPr>
          <xdr:blipFill>
            <a:blip xmlns:r="http://schemas.openxmlformats.org/officeDocument/2006/relationships" r:embed="rId2"/>
            <a:stretch>
              <a:fillRect/>
            </a:stretch>
          </xdr:blipFill>
          <xdr:spPr>
            <a:xfrm>
              <a:off x="3666600" y="6935400"/>
              <a:ext cx="12600" cy="12600"/>
            </a:xfrm>
            <a:prstGeom prst="rect">
              <a:avLst/>
            </a:prstGeom>
          </xdr:spPr>
        </xdr:pic>
      </mc:Fallback>
    </mc:AlternateContent>
    <xdr:clientData/>
  </xdr:twoCellAnchor>
  <xdr:oneCellAnchor>
    <xdr:from>
      <xdr:col>7</xdr:col>
      <xdr:colOff>37920</xdr:colOff>
      <xdr:row>30</xdr:row>
      <xdr:rowOff>114060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5" name="Ink 4">
              <a:extLst>
                <a:ext uri="{FF2B5EF4-FFF2-40B4-BE49-F238E27FC236}">
                  <a16:creationId xmlns:a16="http://schemas.microsoft.com/office/drawing/2014/main" id="{46B09DDF-C5BB-47F7-9825-55B78C41EA71}"/>
                </a:ext>
              </a:extLst>
            </xdr14:cNvPr>
            <xdr14:cNvContentPartPr/>
          </xdr14:nvContentPartPr>
          <xdr14:nvPr macro=""/>
          <xdr14:xfrm>
            <a:off x="5326200" y="5196600"/>
            <a:ext cx="360" cy="360"/>
          </xdr14:xfrm>
        </xdr:contentPart>
      </mc:Choice>
      <mc:Fallback xmlns="">
        <xdr:pic>
          <xdr:nvPicPr>
            <xdr:cNvPr id="17" name="Ink 16">
              <a:extLst>
                <a:ext uri="{FF2B5EF4-FFF2-40B4-BE49-F238E27FC236}">
                  <a16:creationId xmlns:a16="http://schemas.microsoft.com/office/drawing/2014/main" id="{EE56C7D3-552F-2A01-4702-6619B583009B}"/>
                </a:ext>
              </a:extLst>
            </xdr:cNvPr>
            <xdr:cNvPicPr/>
          </xdr:nvPicPr>
          <xdr:blipFill>
            <a:blip xmlns:r="http://schemas.openxmlformats.org/officeDocument/2006/relationships" r:embed="rId2"/>
            <a:stretch>
              <a:fillRect/>
            </a:stretch>
          </xdr:blipFill>
          <xdr:spPr>
            <a:xfrm>
              <a:off x="5320080" y="5190480"/>
              <a:ext cx="12600" cy="12600"/>
            </a:xfrm>
            <a:prstGeom prst="rect">
              <a:avLst/>
            </a:prstGeom>
          </xdr:spPr>
        </xdr:pic>
      </mc:Fallback>
    </mc:AlternateContent>
    <xdr:clientData/>
  </xdr:oneCellAnchor>
  <xdr:oneCellAnchor>
    <xdr:from>
      <xdr:col>7</xdr:col>
      <xdr:colOff>37920</xdr:colOff>
      <xdr:row>31</xdr:row>
      <xdr:rowOff>114060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6" name="Ink 5">
              <a:extLst>
                <a:ext uri="{FF2B5EF4-FFF2-40B4-BE49-F238E27FC236}">
                  <a16:creationId xmlns:a16="http://schemas.microsoft.com/office/drawing/2014/main" id="{F9A1CD28-644A-437A-9554-B52BEF42067E}"/>
                </a:ext>
              </a:extLst>
            </xdr14:cNvPr>
            <xdr14:cNvContentPartPr/>
          </xdr14:nvContentPartPr>
          <xdr14:nvPr macro=""/>
          <xdr14:xfrm>
            <a:off x="5326200" y="5196600"/>
            <a:ext cx="360" cy="360"/>
          </xdr14:xfrm>
        </xdr:contentPart>
      </mc:Choice>
      <mc:Fallback xmlns="">
        <xdr:pic>
          <xdr:nvPicPr>
            <xdr:cNvPr id="17" name="Ink 16">
              <a:extLst>
                <a:ext uri="{FF2B5EF4-FFF2-40B4-BE49-F238E27FC236}">
                  <a16:creationId xmlns:a16="http://schemas.microsoft.com/office/drawing/2014/main" id="{EE56C7D3-552F-2A01-4702-6619B583009B}"/>
                </a:ext>
              </a:extLst>
            </xdr:cNvPr>
            <xdr:cNvPicPr/>
          </xdr:nvPicPr>
          <xdr:blipFill>
            <a:blip xmlns:r="http://schemas.openxmlformats.org/officeDocument/2006/relationships" r:embed="rId2"/>
            <a:stretch>
              <a:fillRect/>
            </a:stretch>
          </xdr:blipFill>
          <xdr:spPr>
            <a:xfrm>
              <a:off x="5320080" y="5190480"/>
              <a:ext cx="12600" cy="12600"/>
            </a:xfrm>
            <a:prstGeom prst="rect">
              <a:avLst/>
            </a:prstGeom>
          </xdr:spPr>
        </xdr:pic>
      </mc:Fallback>
    </mc:AlternateContent>
    <xdr:clientData/>
  </xdr:oneCellAnchor>
  <xdr:oneCellAnchor>
    <xdr:from>
      <xdr:col>7</xdr:col>
      <xdr:colOff>37920</xdr:colOff>
      <xdr:row>32</xdr:row>
      <xdr:rowOff>114060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9E8F5E59-591C-4194-94D9-248CAE37292F}"/>
                </a:ext>
              </a:extLst>
            </xdr14:cNvPr>
            <xdr14:cNvContentPartPr/>
          </xdr14:nvContentPartPr>
          <xdr14:nvPr macro=""/>
          <xdr14:xfrm>
            <a:off x="5326200" y="5196600"/>
            <a:ext cx="360" cy="360"/>
          </xdr14:xfrm>
        </xdr:contentPart>
      </mc:Choice>
      <mc:Fallback xmlns="">
        <xdr:pic>
          <xdr:nvPicPr>
            <xdr:cNvPr id="17" name="Ink 16">
              <a:extLst>
                <a:ext uri="{FF2B5EF4-FFF2-40B4-BE49-F238E27FC236}">
                  <a16:creationId xmlns:a16="http://schemas.microsoft.com/office/drawing/2014/main" id="{EE56C7D3-552F-2A01-4702-6619B583009B}"/>
                </a:ext>
              </a:extLst>
            </xdr:cNvPr>
            <xdr:cNvPicPr/>
          </xdr:nvPicPr>
          <xdr:blipFill>
            <a:blip xmlns:r="http://schemas.openxmlformats.org/officeDocument/2006/relationships" r:embed="rId2"/>
            <a:stretch>
              <a:fillRect/>
            </a:stretch>
          </xdr:blipFill>
          <xdr:spPr>
            <a:xfrm>
              <a:off x="5320080" y="5190480"/>
              <a:ext cx="12600" cy="12600"/>
            </a:xfrm>
            <a:prstGeom prst="rect">
              <a:avLst/>
            </a:prstGeom>
          </xdr:spPr>
        </xdr:pic>
      </mc:Fallback>
    </mc:AlternateContent>
    <xdr:clientData/>
  </xdr:oneCellAnchor>
  <xdr:oneCellAnchor>
    <xdr:from>
      <xdr:col>7</xdr:col>
      <xdr:colOff>37920</xdr:colOff>
      <xdr:row>33</xdr:row>
      <xdr:rowOff>114060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8" name="Ink 7">
              <a:extLst>
                <a:ext uri="{FF2B5EF4-FFF2-40B4-BE49-F238E27FC236}">
                  <a16:creationId xmlns:a16="http://schemas.microsoft.com/office/drawing/2014/main" id="{B7124FD2-447A-40B9-9992-A23BADFF8669}"/>
                </a:ext>
              </a:extLst>
            </xdr14:cNvPr>
            <xdr14:cNvContentPartPr/>
          </xdr14:nvContentPartPr>
          <xdr14:nvPr macro=""/>
          <xdr14:xfrm>
            <a:off x="5326200" y="5196600"/>
            <a:ext cx="360" cy="360"/>
          </xdr14:xfrm>
        </xdr:contentPart>
      </mc:Choice>
      <mc:Fallback xmlns="">
        <xdr:pic>
          <xdr:nvPicPr>
            <xdr:cNvPr id="17" name="Ink 16">
              <a:extLst>
                <a:ext uri="{FF2B5EF4-FFF2-40B4-BE49-F238E27FC236}">
                  <a16:creationId xmlns:a16="http://schemas.microsoft.com/office/drawing/2014/main" id="{EE56C7D3-552F-2A01-4702-6619B583009B}"/>
                </a:ext>
              </a:extLst>
            </xdr:cNvPr>
            <xdr:cNvPicPr/>
          </xdr:nvPicPr>
          <xdr:blipFill>
            <a:blip xmlns:r="http://schemas.openxmlformats.org/officeDocument/2006/relationships" r:embed="rId2"/>
            <a:stretch>
              <a:fillRect/>
            </a:stretch>
          </xdr:blipFill>
          <xdr:spPr>
            <a:xfrm>
              <a:off x="5320080" y="5190480"/>
              <a:ext cx="12600" cy="126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06:11.041"/>
    </inkml:context>
    <inkml:brush xml:id="br0">
      <inkml:brushProperty name="width" value="0.035" units="cm"/>
      <inkml:brushProperty name="height" value="0.035" units="cm"/>
    </inkml:brush>
  </inkml:definitions>
  <inkml:trace contextRef="#ctx0" brushRef="#br0">1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06:18.889"/>
    </inkml:context>
    <inkml:brush xml:id="br0">
      <inkml:brushProperty name="width" value="0.035" units="cm"/>
      <inkml:brushProperty name="height" value="0.035" units="cm"/>
    </inkml:brush>
  </inkml:definitions>
  <inkml:trace contextRef="#ctx0" brushRef="#br0">1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06:19.540"/>
    </inkml:context>
    <inkml:brush xml:id="br0">
      <inkml:brushProperty name="width" value="0.035" units="cm"/>
      <inkml:brushProperty name="height" value="0.035" units="cm"/>
    </inkml:brush>
  </inkml:definitions>
  <inkml:trace contextRef="#ctx0" brushRef="#br0">1 1 24575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06:46.416"/>
    </inkml:context>
    <inkml:brush xml:id="br0">
      <inkml:brushProperty name="width" value="0.035" units="cm"/>
      <inkml:brushProperty name="height" value="0.035" units="cm"/>
    </inkml:brush>
  </inkml:definitions>
  <inkml:trace contextRef="#ctx0" brushRef="#br0">1 1 24575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06:50.377"/>
    </inkml:context>
    <inkml:brush xml:id="br0">
      <inkml:brushProperty name="width" value="0.035" units="cm"/>
      <inkml:brushProperty name="height" value="0.035" units="cm"/>
    </inkml:brush>
  </inkml:definitions>
  <inkml:trace contextRef="#ctx0" brushRef="#br0">1 1 24575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06:56.990"/>
    </inkml:context>
    <inkml:brush xml:id="br0">
      <inkml:brushProperty name="width" value="0.035" units="cm"/>
      <inkml:brushProperty name="height" value="0.035" units="cm"/>
    </inkml:brush>
  </inkml:definitions>
  <inkml:trace contextRef="#ctx0" brushRef="#br0">1 1 24575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8T16:07:00.496"/>
    </inkml:context>
    <inkml:brush xml:id="br0">
      <inkml:brushProperty name="width" value="0.035" units="cm"/>
      <inkml:brushProperty name="height" value="0.035" units="cm"/>
    </inkml:brush>
  </inkml:definitions>
  <inkml:trace contextRef="#ctx0" brushRef="#br0">1 1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9T16:07:28.477"/>
    </inkml:context>
    <inkml:brush xml:id="br0">
      <inkml:brushProperty name="width" value="0.035" units="cm"/>
      <inkml:brushProperty name="height" value="0.035" units="cm"/>
    </inkml:brush>
  </inkml:definitions>
  <inkml:trace contextRef="#ctx0" brushRef="#br0">1 1 24575</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9T16:07:28.482"/>
    </inkml:context>
    <inkml:brush xml:id="br0">
      <inkml:brushProperty name="width" value="0.035" units="cm"/>
      <inkml:brushProperty name="height" value="0.035" units="cm"/>
    </inkml:brush>
  </inkml:definitions>
  <inkml:trace contextRef="#ctx0" brushRef="#br0">1 1 24575</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9T16:07:28.488"/>
    </inkml:context>
    <inkml:brush xml:id="br0">
      <inkml:brushProperty name="width" value="0.035" units="cm"/>
      <inkml:brushProperty name="height" value="0.035" units="cm"/>
    </inkml:brush>
  </inkml:definitions>
  <inkml:trace contextRef="#ctx0" brushRef="#br0">1 1 24575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9T16:07:28.493"/>
    </inkml:context>
    <inkml:brush xml:id="br0">
      <inkml:brushProperty name="width" value="0.035" units="cm"/>
      <inkml:brushProperty name="height" value="0.035" units="cm"/>
    </inkml:brush>
  </inkml:definitions>
  <inkml:trace contextRef="#ctx0" brushRef="#br0">1 1 24575</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926752662039" backgroundQuery="1" createdVersion="8" refreshedVersion="8" minRefreshableVersion="3" recordCount="0" supportSubquery="1" supportAdvancedDrill="1" xr:uid="{2BBCA0F7-E9A1-4D62-8B5B-B858B307C64D}">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898638657411" backgroundQuery="1" createdVersion="8" refreshedVersion="8" minRefreshableVersion="3" recordCount="0" supportSubquery="1" supportAdvancedDrill="1" xr:uid="{FA19F209-4507-4A03-A44E-C442F12AF913}">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0.899910763888" backgroundQuery="1" createdVersion="8" refreshedVersion="8" minRefreshableVersion="3" recordCount="0" supportSubquery="1" supportAdvancedDrill="1" xr:uid="{2064C754-DFAD-44AB-9C73-363C374E76BC}">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s]" caption="Avg Ratings"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s]" caption="Avg Ratings"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2.956130902778" backgroundQuery="1" createdVersion="8" refreshedVersion="8" minRefreshableVersion="3" recordCount="0" supportSubquery="1" supportAdvancedDrill="1" xr:uid="{64A4508C-BBCE-40A9-89D7-D981D8CBA71B}">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554583912039" backgroundQuery="1" createdVersion="8" refreshedVersion="8" minRefreshableVersion="3" recordCount="0" supportSubquery="1" supportAdvancedDrill="1" xr:uid="{D303D85C-4468-48E4-B9C7-1986A7DB8D52}">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s]" caption="Avg Ratings"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s]" caption="Avg Ratings"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554584606478" backgroundQuery="1" createdVersion="8" refreshedVersion="8" minRefreshableVersion="3" recordCount="0" supportSubquery="1" supportAdvancedDrill="1" xr:uid="{2EFFF538-8810-4959-9383-8F9520228029}">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554585185186" backgroundQuery="1" createdVersion="8" refreshedVersion="8" minRefreshableVersion="3" recordCount="0" supportSubquery="1" supportAdvancedDrill="1" xr:uid="{194C0993-0252-4AD7-B97A-E6FA386C238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554585763886" backgroundQuery="1" createdVersion="8" refreshedVersion="8" minRefreshableVersion="3" recordCount="0" supportSubquery="1" supportAdvancedDrill="1" xr:uid="{CBA793A8-EA34-4C48-9AD6-870A84DB36B2}">
  <cacheSource type="external" connectionId="1"/>
  <cacheFields count="1">
    <cacheField name="[calls].[Representative].[Representative]" caption="Representative" numFmtId="0" hierarchy="3" level="1">
      <sharedItems count="1">
        <s v="R01"/>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55458611111" backgroundQuery="1" createdVersion="8" refreshedVersion="8" minRefreshableVersion="3" recordCount="0" supportSubquery="1" supportAdvancedDrill="1" xr:uid="{72197789-F949-42F1-801A-A5C46D4E4ABE}">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0.899911921297" backgroundQuery="1" createdVersion="3" refreshedVersion="8" minRefreshableVersion="3" recordCount="0" supportSubquery="1" supportAdvancedDrill="1" xr:uid="{F6E38422-AA19-4BD7-ACF6-E634BEA6D1CA}">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82957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5A8B96-77BC-4FF2-BA0A-480A71BDEF32}" name="Representative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9:C3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9D02DD-6A0C-4AE7-937C-57019CDBDDCE}" name="Monthly trend" cacheId="1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3:C26"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4">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49E253-652A-4291-8198-814DEE766A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D4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AC7FEA-E204-439B-910F-11383B4D817D}" name="Weekly pivot" cacheId="1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G14:H22"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777293-768C-42D2-BB8E-6A41EBD53FFE}" name="Summa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770062-5D87-4221-864E-6C921414958D}" name="Rep Satisfaction" cacheId="1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51:B5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D78280-0A75-4B7E-B886-26FCF8F5E482}" name="Selected Rep Pivot" cacheId="15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39:A4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1">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691A91-CBB5-4152-B3EB-8CD5627608CB}"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A61:G8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3DA915-2931-4DBA-A673-4C6491A4D9B6}" name="REP Pivot" cacheId="1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10F925F-327A-4765-A196-B89B9E876698}" sourceName="[calls].[Representative]">
  <pivotTables>
    <pivotTable tabId="6" name="REP Pivot"/>
    <pivotTable tabId="6" name="Monthly trend"/>
    <pivotTable tabId="6" name="Weekly pivot"/>
    <pivotTable tabId="6" name="Selected Rep Pivot"/>
    <pivotTable tabId="6" name="Rep Satisfaction"/>
  </pivotTables>
  <data>
    <olap pivotCacheId="179829570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09C2935-6974-4832-9E25-BD091E611E69}" cache="Slicer_Representative" caption="Representative" level="1" style="SlicerStyleDark5 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5"/>
    <tableColumn id="5" xr3:uid="{5A35565E-8707-4DED-AD15-A0669D67B382}" name="Date of Call" dataDxfId="24"/>
    <tableColumn id="6" xr3:uid="{F2E4F158-B41F-47BC-8DF8-DFCADFEE4E40}" name="Purchase Amount"/>
    <tableColumn id="7" xr3:uid="{04B291B5-47BD-4F78-8FD8-D1551CCA6BD9}" name="Satisfaction Rating"/>
    <tableColumn id="8" xr3:uid="{6E4123C0-0B17-43B8-A142-A1E540CE974C}" name="FY" dataDxfId="23">
      <calculatedColumnFormula>IF(MONTH(calls[[#This Row],[Date of Call]])&lt;=6, YEAR(calls[[#This Row],[Date of Call]]), YEAR(calls[[#This Row],[Date of Call]])+1)</calculatedColumnFormula>
    </tableColumn>
    <tableColumn id="9" xr3:uid="{199FA271-5E9B-46CE-9BC6-2801F92CD17E}" name="Day of week" dataDxfId="22">
      <calculatedColumnFormula>TEXT(calls[[#This Row],[Date of Call]],"DDDD")</calculatedColumnFormula>
    </tableColumn>
    <tableColumn id="10" xr3:uid="{328CDB09-95B8-4D5E-9ED9-EF0D363735A1}" name="Duration Bucket" dataDxfId="2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9" headerRowBorderDxfId="18" tableBorderDxfId="17" totalsRowBorderDxfId="16">
  <autoFilter ref="Q3:T18" xr:uid="{27158F51-A707-4171-8A04-81FB0AABCBA5}"/>
  <tableColumns count="4">
    <tableColumn id="1" xr3:uid="{02688061-6A8C-4E23-B7FF-D00CD8B58CAC}" name="Customer ID" dataDxfId="15"/>
    <tableColumn id="2" xr3:uid="{771678B6-DB44-426B-9874-B4E421A440D5}" name="Gedner" dataDxfId="14"/>
    <tableColumn id="3" xr3:uid="{B0D41C62-587E-494D-B49A-603F2C05F8D3}" name="Age" dataDxfId="13"/>
    <tableColumn id="4" xr3:uid="{663F92D6-FE31-4D81-9E01-8D066DDC8A88}" name="City" dataDxfId="1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rial-Times New Roman">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978" zoomScale="115" zoomScaleNormal="115" workbookViewId="0">
      <selection activeCell="C1002" sqref="C1002"/>
    </sheetView>
  </sheetViews>
  <sheetFormatPr defaultRowHeight="13.8" x14ac:dyDescent="0.25"/>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J37"/>
  <sheetViews>
    <sheetView topLeftCell="B1" zoomScale="115" zoomScaleNormal="115" workbookViewId="0">
      <selection activeCell="N4" sqref="N4"/>
    </sheetView>
  </sheetViews>
  <sheetFormatPr defaultRowHeight="13.8" x14ac:dyDescent="0.25"/>
  <cols>
    <col min="5" max="5" width="11" customWidth="1"/>
    <col min="6" max="6" width="10" customWidth="1"/>
    <col min="9" max="9" width="40.6640625" customWidth="1"/>
    <col min="10" max="10" width="11.44140625" customWidth="1"/>
    <col min="11" max="11" width="2.44140625" customWidth="1"/>
  </cols>
  <sheetData>
    <row r="2" spans="5:10" x14ac:dyDescent="0.25">
      <c r="E2" t="s">
        <v>1040</v>
      </c>
      <c r="J2" s="49"/>
    </row>
    <row r="3" spans="5:10" ht="25.5" customHeight="1" x14ac:dyDescent="0.25">
      <c r="E3" t="s">
        <v>11</v>
      </c>
    </row>
    <row r="4" spans="5:10" ht="25.5" customHeight="1" x14ac:dyDescent="0.25">
      <c r="E4" t="s">
        <v>9</v>
      </c>
      <c r="H4" s="28" t="s">
        <v>1041</v>
      </c>
      <c r="I4" s="28" t="s">
        <v>1042</v>
      </c>
    </row>
    <row r="5" spans="5:10" ht="25.5" customHeight="1" x14ac:dyDescent="0.25">
      <c r="E5" t="s">
        <v>6</v>
      </c>
      <c r="H5" s="29" t="s">
        <v>1043</v>
      </c>
      <c r="I5" s="29" t="s">
        <v>1044</v>
      </c>
    </row>
    <row r="6" spans="5:10" ht="25.5" customHeight="1" x14ac:dyDescent="0.25">
      <c r="E6" t="s">
        <v>13</v>
      </c>
      <c r="H6" s="29" t="s">
        <v>1045</v>
      </c>
      <c r="I6" s="29" t="s">
        <v>1046</v>
      </c>
    </row>
    <row r="7" spans="5:10" ht="25.5" customHeight="1" x14ac:dyDescent="0.25">
      <c r="E7" t="s">
        <v>10</v>
      </c>
      <c r="H7" s="20"/>
      <c r="I7" s="20" t="s">
        <v>1047</v>
      </c>
    </row>
    <row r="8" spans="5:10" ht="27.6" x14ac:dyDescent="0.25">
      <c r="H8" s="20"/>
      <c r="I8" s="20" t="s">
        <v>1048</v>
      </c>
    </row>
    <row r="9" spans="5:10" ht="55.2" x14ac:dyDescent="0.25">
      <c r="H9" s="30" t="s">
        <v>1049</v>
      </c>
      <c r="I9" s="30" t="s">
        <v>1128</v>
      </c>
    </row>
    <row r="10" spans="5:10" ht="27.6" x14ac:dyDescent="0.25">
      <c r="I10" s="22" t="s">
        <v>1051</v>
      </c>
    </row>
    <row r="11" spans="5:10" ht="27.6" x14ac:dyDescent="0.25">
      <c r="I11" s="22" t="s">
        <v>1052</v>
      </c>
    </row>
    <row r="12" spans="5:10" x14ac:dyDescent="0.25">
      <c r="I12" s="22" t="s">
        <v>1054</v>
      </c>
    </row>
    <row r="13" spans="5:10" x14ac:dyDescent="0.25">
      <c r="H13" t="s">
        <v>1055</v>
      </c>
      <c r="I13" s="22" t="s">
        <v>1050</v>
      </c>
    </row>
    <row r="14" spans="5:10" ht="27.6" x14ac:dyDescent="0.25">
      <c r="I14" s="22" t="s">
        <v>1051</v>
      </c>
    </row>
    <row r="15" spans="5:10" ht="27.6" x14ac:dyDescent="0.25">
      <c r="I15" s="22" t="s">
        <v>1056</v>
      </c>
    </row>
    <row r="16" spans="5:10" x14ac:dyDescent="0.25">
      <c r="I16" s="22" t="s">
        <v>1057</v>
      </c>
    </row>
    <row r="17" spans="8:9" ht="27.6" x14ac:dyDescent="0.25">
      <c r="H17" t="s">
        <v>1059</v>
      </c>
      <c r="I17" s="22" t="s">
        <v>1060</v>
      </c>
    </row>
    <row r="18" spans="8:9" ht="27.6" x14ac:dyDescent="0.25">
      <c r="H18" t="s">
        <v>1063</v>
      </c>
      <c r="I18" s="22" t="s">
        <v>1064</v>
      </c>
    </row>
    <row r="19" spans="8:9" ht="27.6" x14ac:dyDescent="0.25">
      <c r="H19" t="s">
        <v>1065</v>
      </c>
      <c r="I19" s="22" t="s">
        <v>1066</v>
      </c>
    </row>
    <row r="20" spans="8:9" ht="27.6" x14ac:dyDescent="0.25">
      <c r="I20" s="22" t="s">
        <v>1067</v>
      </c>
    </row>
    <row r="21" spans="8:9" ht="27.6" x14ac:dyDescent="0.25">
      <c r="H21" t="s">
        <v>1069</v>
      </c>
      <c r="I21" s="22" t="s">
        <v>1070</v>
      </c>
    </row>
    <row r="22" spans="8:9" ht="27.6" x14ac:dyDescent="0.25">
      <c r="H22" t="s">
        <v>1071</v>
      </c>
      <c r="I22" s="22" t="s">
        <v>1072</v>
      </c>
    </row>
    <row r="23" spans="8:9" ht="27.6" x14ac:dyDescent="0.25">
      <c r="I23" s="22" t="s">
        <v>1073</v>
      </c>
    </row>
    <row r="24" spans="8:9" ht="27.6" x14ac:dyDescent="0.25">
      <c r="H24" s="31" t="s">
        <v>1074</v>
      </c>
      <c r="I24" s="30" t="s">
        <v>1076</v>
      </c>
    </row>
    <row r="25" spans="8:9" x14ac:dyDescent="0.25">
      <c r="I25" s="22" t="s">
        <v>1077</v>
      </c>
    </row>
    <row r="26" spans="8:9" ht="27.6" x14ac:dyDescent="0.25">
      <c r="H26" t="s">
        <v>1075</v>
      </c>
      <c r="I26" s="22" t="s">
        <v>1081</v>
      </c>
    </row>
    <row r="27" spans="8:9" ht="41.4" x14ac:dyDescent="0.25">
      <c r="I27" s="22" t="s">
        <v>1082</v>
      </c>
    </row>
    <row r="28" spans="8:9" x14ac:dyDescent="0.25">
      <c r="I28" s="22" t="s">
        <v>1078</v>
      </c>
    </row>
    <row r="29" spans="8:9" ht="27.6" x14ac:dyDescent="0.25">
      <c r="I29" s="22" t="s">
        <v>1079</v>
      </c>
    </row>
    <row r="30" spans="8:9" ht="27.6" x14ac:dyDescent="0.25">
      <c r="I30" s="22" t="s">
        <v>1080</v>
      </c>
    </row>
    <row r="31" spans="8:9" ht="27.6" x14ac:dyDescent="0.25">
      <c r="H31" t="s">
        <v>1083</v>
      </c>
      <c r="I31" s="22" t="s">
        <v>1084</v>
      </c>
    </row>
    <row r="32" spans="8:9" x14ac:dyDescent="0.25">
      <c r="I32" s="22" t="s">
        <v>1085</v>
      </c>
    </row>
    <row r="33" spans="8:9" x14ac:dyDescent="0.25">
      <c r="H33" t="s">
        <v>1086</v>
      </c>
      <c r="I33" s="22" t="s">
        <v>1087</v>
      </c>
    </row>
    <row r="34" spans="8:9" x14ac:dyDescent="0.25">
      <c r="I34" s="22" t="s">
        <v>1088</v>
      </c>
    </row>
    <row r="35" spans="8:9" x14ac:dyDescent="0.25">
      <c r="I35" s="22" t="s">
        <v>1089</v>
      </c>
    </row>
    <row r="36" spans="8:9" x14ac:dyDescent="0.25">
      <c r="I36" s="22" t="s">
        <v>1090</v>
      </c>
    </row>
    <row r="37" spans="8:9" x14ac:dyDescent="0.25">
      <c r="H37" s="31" t="s">
        <v>1091</v>
      </c>
      <c r="I37" s="31" t="s">
        <v>1092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89F63-F8E2-4D53-A3F8-BB94AE1FC813}">
  <dimension ref="A1:Z40"/>
  <sheetViews>
    <sheetView tabSelected="1" workbookViewId="0">
      <selection activeCell="V14" sqref="V14"/>
    </sheetView>
  </sheetViews>
  <sheetFormatPr defaultRowHeight="13.8" x14ac:dyDescent="0.25"/>
  <cols>
    <col min="1" max="1" width="4.109375" customWidth="1"/>
    <col min="2" max="2" width="0.5546875" customWidth="1"/>
    <col min="4" max="4" width="8.88671875" customWidth="1"/>
    <col min="5" max="5" width="6.33203125" customWidth="1"/>
    <col min="17" max="17" width="9.21875" bestFit="1" customWidth="1"/>
  </cols>
  <sheetData>
    <row r="1" spans="1:26" ht="31.8" customHeight="1" x14ac:dyDescent="0.5">
      <c r="A1" s="21"/>
      <c r="B1" s="21"/>
      <c r="C1" s="48" t="s">
        <v>1127</v>
      </c>
      <c r="D1" s="21"/>
      <c r="E1" s="21"/>
      <c r="F1" s="21"/>
      <c r="G1" s="21"/>
      <c r="H1" s="21"/>
      <c r="I1" s="21"/>
      <c r="J1" s="21"/>
      <c r="K1" s="21"/>
      <c r="L1" s="21"/>
      <c r="M1" s="21"/>
      <c r="N1" s="21"/>
      <c r="O1" s="21"/>
      <c r="P1" s="21"/>
      <c r="Q1" s="21"/>
      <c r="R1" s="21"/>
      <c r="S1" s="21"/>
      <c r="T1" s="21"/>
      <c r="U1" s="21"/>
      <c r="V1" s="21"/>
      <c r="W1" s="21"/>
      <c r="X1" s="21"/>
      <c r="Y1" s="21"/>
      <c r="Z1" s="21"/>
    </row>
    <row r="2" spans="1:26" x14ac:dyDescent="0.25">
      <c r="A2" s="21"/>
      <c r="B2" s="21"/>
      <c r="C2" s="21"/>
      <c r="D2" s="21"/>
      <c r="E2" s="21"/>
      <c r="F2" s="21"/>
      <c r="G2" s="21"/>
      <c r="H2" s="21"/>
      <c r="I2" s="21"/>
      <c r="J2" s="21"/>
      <c r="K2" s="21"/>
      <c r="L2" s="21"/>
      <c r="M2" s="21"/>
      <c r="N2" s="21"/>
      <c r="O2" s="21"/>
      <c r="P2" s="21"/>
      <c r="Q2" s="21"/>
      <c r="R2" s="21"/>
      <c r="S2" s="21"/>
      <c r="T2" s="21"/>
      <c r="U2" s="21"/>
      <c r="V2" s="21"/>
      <c r="W2" s="21"/>
      <c r="X2" s="21"/>
      <c r="Y2" s="21"/>
      <c r="Z2" s="21"/>
    </row>
    <row r="3" spans="1:26" x14ac:dyDescent="0.25">
      <c r="A3" s="21"/>
      <c r="B3" s="21"/>
      <c r="C3" s="21"/>
      <c r="D3" s="21"/>
      <c r="E3" s="21"/>
      <c r="F3" s="21"/>
      <c r="G3" s="21"/>
      <c r="H3" s="21"/>
      <c r="I3" s="21"/>
      <c r="J3" s="21"/>
      <c r="K3" s="21"/>
      <c r="L3" s="21"/>
      <c r="M3" s="21"/>
      <c r="N3" s="21"/>
      <c r="O3" s="21"/>
      <c r="P3" s="21"/>
      <c r="Q3" s="21"/>
      <c r="R3" s="21"/>
      <c r="S3" s="21"/>
      <c r="T3" s="21"/>
      <c r="U3" s="21"/>
      <c r="V3" s="21"/>
      <c r="W3" s="21"/>
      <c r="X3" s="21"/>
      <c r="Y3" s="21"/>
      <c r="Z3" s="21"/>
    </row>
    <row r="4" spans="1:26" x14ac:dyDescent="0.25">
      <c r="A4" s="21"/>
      <c r="B4" s="21"/>
      <c r="C4" s="21"/>
      <c r="D4" s="21"/>
      <c r="E4" s="21"/>
      <c r="F4" s="21"/>
      <c r="G4" s="21"/>
      <c r="H4" s="21"/>
      <c r="I4" s="21"/>
      <c r="J4" s="21"/>
      <c r="K4" s="21"/>
      <c r="L4" s="21"/>
      <c r="M4" s="21"/>
      <c r="N4" s="21"/>
      <c r="O4" s="21"/>
      <c r="P4" s="21"/>
      <c r="Q4" s="21"/>
      <c r="R4" s="21"/>
      <c r="S4" s="21"/>
      <c r="T4" s="21"/>
      <c r="U4" s="21"/>
      <c r="V4" s="21"/>
      <c r="W4" s="21"/>
      <c r="X4" s="21"/>
      <c r="Y4" s="21"/>
      <c r="Z4" s="21"/>
    </row>
    <row r="5" spans="1:26" x14ac:dyDescent="0.25">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x14ac:dyDescent="0.25">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x14ac:dyDescent="0.25">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x14ac:dyDescent="0.25">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x14ac:dyDescent="0.25">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x14ac:dyDescent="0.25">
      <c r="A13" s="21"/>
      <c r="B13" s="21"/>
      <c r="C13" s="21"/>
      <c r="D13" s="21"/>
      <c r="E13" s="21"/>
      <c r="F13" s="21"/>
      <c r="G13" s="21"/>
      <c r="H13" s="21"/>
      <c r="I13" s="21"/>
      <c r="J13" s="21"/>
      <c r="K13" s="21"/>
      <c r="L13" s="21"/>
      <c r="M13" s="21"/>
      <c r="N13" s="21"/>
      <c r="O13" s="21"/>
      <c r="P13" s="21"/>
      <c r="Q13" s="36"/>
      <c r="R13" s="37" t="s">
        <v>11</v>
      </c>
      <c r="S13" s="37" t="s">
        <v>9</v>
      </c>
      <c r="T13" s="37" t="s">
        <v>6</v>
      </c>
      <c r="U13" s="37" t="s">
        <v>13</v>
      </c>
      <c r="V13" s="37" t="s">
        <v>10</v>
      </c>
      <c r="W13" s="38" t="s">
        <v>1126</v>
      </c>
      <c r="X13" s="21"/>
      <c r="Y13" s="21"/>
      <c r="Z13" s="21"/>
    </row>
    <row r="14" spans="1:26" x14ac:dyDescent="0.25">
      <c r="A14" s="21"/>
      <c r="B14" s="21"/>
      <c r="C14" s="21"/>
      <c r="D14" s="21"/>
      <c r="E14" s="21"/>
      <c r="F14" s="21"/>
      <c r="G14" s="21"/>
      <c r="H14" s="21"/>
      <c r="I14" s="21"/>
      <c r="J14" s="21"/>
      <c r="K14" s="21"/>
      <c r="L14" s="21"/>
      <c r="M14" s="21"/>
      <c r="N14" s="21"/>
      <c r="O14" s="21"/>
      <c r="P14" s="21"/>
      <c r="Q14" s="39" t="str">
        <f>PIVOT!A63</f>
        <v>Cincinnati</v>
      </c>
      <c r="R14" s="40"/>
      <c r="S14" s="40"/>
      <c r="T14" s="40"/>
      <c r="U14" s="40"/>
      <c r="V14" s="40"/>
      <c r="W14" s="41"/>
      <c r="X14" s="21"/>
      <c r="Y14" s="21"/>
      <c r="Z14" s="21"/>
    </row>
    <row r="15" spans="1:26" x14ac:dyDescent="0.25">
      <c r="A15" s="21"/>
      <c r="B15" s="21"/>
      <c r="C15" s="21"/>
      <c r="D15" s="21"/>
      <c r="E15" s="21"/>
      <c r="F15" s="21"/>
      <c r="G15" s="21"/>
      <c r="H15" s="21"/>
      <c r="I15" s="21"/>
      <c r="J15" s="21"/>
      <c r="K15" s="21"/>
      <c r="L15" s="21"/>
      <c r="M15" s="21"/>
      <c r="N15" s="21"/>
      <c r="O15" s="21"/>
      <c r="P15" s="21"/>
      <c r="Q15" s="42" t="str">
        <f>PIVOT!A64</f>
        <v>C0003</v>
      </c>
      <c r="R15" s="43">
        <f>PIVOT!B64</f>
        <v>891</v>
      </c>
      <c r="S15" s="43">
        <f>PIVOT!C64</f>
        <v>1332</v>
      </c>
      <c r="T15" s="43">
        <f>PIVOT!D64</f>
        <v>1282</v>
      </c>
      <c r="U15" s="43">
        <f>PIVOT!E64</f>
        <v>739</v>
      </c>
      <c r="V15" s="43">
        <f>PIVOT!F64</f>
        <v>560</v>
      </c>
      <c r="W15" s="44">
        <f>PIVOT!G64</f>
        <v>4804</v>
      </c>
      <c r="X15" s="21"/>
      <c r="Y15" s="21"/>
      <c r="Z15" s="21"/>
    </row>
    <row r="16" spans="1:26" x14ac:dyDescent="0.25">
      <c r="A16" s="21"/>
      <c r="B16" s="21"/>
      <c r="C16" s="21"/>
      <c r="D16" s="21"/>
      <c r="E16" s="21"/>
      <c r="F16" s="21"/>
      <c r="G16" s="21"/>
      <c r="H16" s="21"/>
      <c r="I16" s="21"/>
      <c r="J16" s="21"/>
      <c r="K16" s="21"/>
      <c r="L16" s="21"/>
      <c r="M16" s="21"/>
      <c r="N16" s="21"/>
      <c r="O16" s="21"/>
      <c r="P16" s="21"/>
      <c r="Q16" s="42" t="str">
        <f>PIVOT!A65</f>
        <v>C0004</v>
      </c>
      <c r="R16" s="43">
        <f>PIVOT!B65</f>
        <v>1991</v>
      </c>
      <c r="S16" s="43">
        <f>PIVOT!C65</f>
        <v>1886</v>
      </c>
      <c r="T16" s="43">
        <f>PIVOT!D65</f>
        <v>1206</v>
      </c>
      <c r="U16" s="43">
        <f>PIVOT!E65</f>
        <v>884</v>
      </c>
      <c r="V16" s="43">
        <f>PIVOT!F65</f>
        <v>1722</v>
      </c>
      <c r="W16" s="44">
        <f>PIVOT!G65</f>
        <v>7689</v>
      </c>
      <c r="X16" s="21"/>
      <c r="Y16" s="21"/>
      <c r="Z16" s="21"/>
    </row>
    <row r="17" spans="1:26" x14ac:dyDescent="0.25">
      <c r="A17" s="21"/>
      <c r="B17" s="21"/>
      <c r="C17" s="21"/>
      <c r="D17" s="21"/>
      <c r="E17" s="21"/>
      <c r="F17" s="21"/>
      <c r="G17" s="21"/>
      <c r="H17" s="21"/>
      <c r="I17" s="21"/>
      <c r="J17" s="21"/>
      <c r="K17" s="21"/>
      <c r="L17" s="21"/>
      <c r="M17" s="21"/>
      <c r="N17" s="21"/>
      <c r="O17" s="21"/>
      <c r="P17" s="21"/>
      <c r="Q17" s="42" t="str">
        <f>PIVOT!A66</f>
        <v>C0011</v>
      </c>
      <c r="R17" s="43">
        <f>PIVOT!B66</f>
        <v>1163</v>
      </c>
      <c r="S17" s="43">
        <f>PIVOT!C66</f>
        <v>1180</v>
      </c>
      <c r="T17" s="43">
        <f>PIVOT!D66</f>
        <v>1616</v>
      </c>
      <c r="U17" s="43">
        <f>PIVOT!E66</f>
        <v>1043</v>
      </c>
      <c r="V17" s="43">
        <f>PIVOT!F66</f>
        <v>1747</v>
      </c>
      <c r="W17" s="44">
        <f>PIVOT!G66</f>
        <v>6749</v>
      </c>
      <c r="X17" s="21"/>
      <c r="Y17" s="21"/>
      <c r="Z17" s="21"/>
    </row>
    <row r="18" spans="1:26" x14ac:dyDescent="0.25">
      <c r="A18" s="21"/>
      <c r="B18" s="21"/>
      <c r="C18" s="21"/>
      <c r="D18" s="21"/>
      <c r="E18" s="21"/>
      <c r="F18" s="21"/>
      <c r="G18" s="21"/>
      <c r="H18" s="21"/>
      <c r="I18" s="21"/>
      <c r="J18" s="21"/>
      <c r="K18" s="21"/>
      <c r="L18" s="21"/>
      <c r="M18" s="21"/>
      <c r="N18" s="21"/>
      <c r="O18" s="21"/>
      <c r="P18" s="21"/>
      <c r="Q18" s="42" t="str">
        <f>PIVOT!A67</f>
        <v>C0012</v>
      </c>
      <c r="R18" s="43">
        <f>PIVOT!B67</f>
        <v>1438</v>
      </c>
      <c r="S18" s="43">
        <f>PIVOT!C67</f>
        <v>1616</v>
      </c>
      <c r="T18" s="43">
        <f>PIVOT!D67</f>
        <v>866</v>
      </c>
      <c r="U18" s="43">
        <f>PIVOT!E67</f>
        <v>829</v>
      </c>
      <c r="V18" s="43">
        <f>PIVOT!F67</f>
        <v>2070</v>
      </c>
      <c r="W18" s="44">
        <f>PIVOT!G67</f>
        <v>6819</v>
      </c>
      <c r="X18" s="21"/>
      <c r="Y18" s="21"/>
      <c r="Z18" s="21"/>
    </row>
    <row r="19" spans="1:26" x14ac:dyDescent="0.25">
      <c r="A19" s="21"/>
      <c r="B19" s="21"/>
      <c r="C19" s="21"/>
      <c r="D19" s="21"/>
      <c r="E19" s="21"/>
      <c r="F19" s="21"/>
      <c r="G19" s="21"/>
      <c r="H19" s="21"/>
      <c r="I19" s="21"/>
      <c r="J19" s="21"/>
      <c r="K19" s="21"/>
      <c r="L19" s="21"/>
      <c r="M19" s="21"/>
      <c r="N19" s="21"/>
      <c r="O19" s="21"/>
      <c r="P19" s="21"/>
      <c r="Q19" s="39" t="str">
        <f>PIVOT!A68</f>
        <v>Cleveland</v>
      </c>
      <c r="R19" s="43"/>
      <c r="S19" s="43"/>
      <c r="T19" s="43"/>
      <c r="U19" s="43"/>
      <c r="V19" s="43"/>
      <c r="W19" s="44"/>
      <c r="X19" s="21"/>
      <c r="Y19" s="21"/>
      <c r="Z19" s="21"/>
    </row>
    <row r="20" spans="1:26" x14ac:dyDescent="0.25">
      <c r="A20" s="21"/>
      <c r="B20" s="21"/>
      <c r="C20" s="21"/>
      <c r="D20" s="21"/>
      <c r="E20" s="21"/>
      <c r="F20" s="21"/>
      <c r="G20" s="21"/>
      <c r="H20" s="21"/>
      <c r="I20" s="21"/>
      <c r="J20" s="21"/>
      <c r="K20" s="21"/>
      <c r="L20" s="21"/>
      <c r="M20" s="21"/>
      <c r="N20" s="21"/>
      <c r="O20" s="21"/>
      <c r="P20" s="21"/>
      <c r="Q20" s="42" t="str">
        <f>PIVOT!A69</f>
        <v>C0002</v>
      </c>
      <c r="R20" s="43">
        <f>PIVOT!B69</f>
        <v>1233</v>
      </c>
      <c r="S20" s="43">
        <f>PIVOT!C69</f>
        <v>223</v>
      </c>
      <c r="T20" s="43">
        <f>PIVOT!D69</f>
        <v>1680</v>
      </c>
      <c r="U20" s="43">
        <f>PIVOT!E69</f>
        <v>990</v>
      </c>
      <c r="V20" s="43">
        <f>PIVOT!F69</f>
        <v>1508</v>
      </c>
      <c r="W20" s="44">
        <f>PIVOT!G69</f>
        <v>5634</v>
      </c>
      <c r="X20" s="21"/>
      <c r="Y20" s="21"/>
      <c r="Z20" s="21"/>
    </row>
    <row r="21" spans="1:26" x14ac:dyDescent="0.25">
      <c r="A21" s="21"/>
      <c r="B21" s="21"/>
      <c r="C21" s="21"/>
      <c r="D21" s="21"/>
      <c r="E21" s="21"/>
      <c r="F21" s="21"/>
      <c r="G21" s="21"/>
      <c r="H21" s="21"/>
      <c r="I21" s="21"/>
      <c r="J21" s="21"/>
      <c r="K21" s="21"/>
      <c r="L21" s="21"/>
      <c r="M21" s="21"/>
      <c r="N21" s="21"/>
      <c r="O21" s="21"/>
      <c r="P21" s="21"/>
      <c r="Q21" s="42" t="str">
        <f>PIVOT!A70</f>
        <v>C0007</v>
      </c>
      <c r="R21" s="43">
        <f>PIVOT!B70</f>
        <v>1598</v>
      </c>
      <c r="S21" s="43">
        <f>PIVOT!C70</f>
        <v>1907</v>
      </c>
      <c r="T21" s="43">
        <f>PIVOT!D70</f>
        <v>869</v>
      </c>
      <c r="U21" s="43">
        <f>PIVOT!E70</f>
        <v>1426</v>
      </c>
      <c r="V21" s="43">
        <f>PIVOT!F70</f>
        <v>1416</v>
      </c>
      <c r="W21" s="44">
        <f>PIVOT!G70</f>
        <v>7216</v>
      </c>
      <c r="X21" s="21"/>
      <c r="Y21" s="21"/>
      <c r="Z21" s="21"/>
    </row>
    <row r="22" spans="1:26" x14ac:dyDescent="0.25">
      <c r="A22" s="21"/>
      <c r="B22" s="21"/>
      <c r="C22" s="21"/>
      <c r="D22" s="21"/>
      <c r="E22" s="21"/>
      <c r="F22" s="21"/>
      <c r="G22" s="21"/>
      <c r="H22" s="21"/>
      <c r="I22" s="21"/>
      <c r="J22" s="21"/>
      <c r="K22" s="21"/>
      <c r="L22" s="21"/>
      <c r="M22" s="21"/>
      <c r="N22" s="21"/>
      <c r="O22" s="21"/>
      <c r="P22" s="21"/>
      <c r="Q22" s="42" t="str">
        <f>PIVOT!A71</f>
        <v>C0008</v>
      </c>
      <c r="R22" s="43">
        <f>PIVOT!B71</f>
        <v>900</v>
      </c>
      <c r="S22" s="43">
        <f>PIVOT!C71</f>
        <v>1016</v>
      </c>
      <c r="T22" s="43">
        <f>PIVOT!D71</f>
        <v>960</v>
      </c>
      <c r="U22" s="43">
        <f>PIVOT!E71</f>
        <v>940</v>
      </c>
      <c r="V22" s="43">
        <f>PIVOT!F71</f>
        <v>1193</v>
      </c>
      <c r="W22" s="44">
        <f>PIVOT!G71</f>
        <v>5009</v>
      </c>
      <c r="X22" s="21"/>
      <c r="Y22" s="21"/>
      <c r="Z22" s="21"/>
    </row>
    <row r="23" spans="1:26" x14ac:dyDescent="0.25">
      <c r="A23" s="21"/>
      <c r="B23" s="21"/>
      <c r="C23" s="21"/>
      <c r="D23" s="21"/>
      <c r="E23" s="21"/>
      <c r="F23" s="21"/>
      <c r="G23" s="21"/>
      <c r="H23" s="21"/>
      <c r="I23" s="21"/>
      <c r="J23" s="21"/>
      <c r="K23" s="21"/>
      <c r="L23" s="21"/>
      <c r="M23" s="21"/>
      <c r="N23" s="21"/>
      <c r="O23" s="21"/>
      <c r="P23" s="21"/>
      <c r="Q23" s="42" t="str">
        <f>PIVOT!A72</f>
        <v>C0010</v>
      </c>
      <c r="R23" s="43">
        <f>PIVOT!B72</f>
        <v>900</v>
      </c>
      <c r="S23" s="43">
        <f>PIVOT!C72</f>
        <v>1470</v>
      </c>
      <c r="T23" s="43">
        <f>PIVOT!D72</f>
        <v>1617</v>
      </c>
      <c r="U23" s="43">
        <f>PIVOT!E72</f>
        <v>1314</v>
      </c>
      <c r="V23" s="43">
        <f>PIVOT!F72</f>
        <v>941</v>
      </c>
      <c r="W23" s="44">
        <f>PIVOT!G72</f>
        <v>6242</v>
      </c>
      <c r="X23" s="21"/>
      <c r="Y23" s="21"/>
      <c r="Z23" s="21"/>
    </row>
    <row r="24" spans="1:26" x14ac:dyDescent="0.25">
      <c r="A24" s="21"/>
      <c r="B24" s="21"/>
      <c r="C24" s="21"/>
      <c r="D24" s="21"/>
      <c r="E24" s="21"/>
      <c r="F24" s="21"/>
      <c r="G24" s="21"/>
      <c r="H24" s="21"/>
      <c r="I24" s="21"/>
      <c r="J24" s="21"/>
      <c r="K24" s="21"/>
      <c r="L24" s="21"/>
      <c r="M24" s="21"/>
      <c r="N24" s="21"/>
      <c r="O24" s="21"/>
      <c r="P24" s="21"/>
      <c r="Q24" s="42" t="str">
        <f>PIVOT!A73</f>
        <v>C0013</v>
      </c>
      <c r="R24" s="43">
        <f>PIVOT!B73</f>
        <v>1255</v>
      </c>
      <c r="S24" s="43">
        <f>PIVOT!C73</f>
        <v>516</v>
      </c>
      <c r="T24" s="43">
        <f>PIVOT!D73</f>
        <v>1874</v>
      </c>
      <c r="U24" s="43">
        <f>PIVOT!E73</f>
        <v>1863</v>
      </c>
      <c r="V24" s="43">
        <f>PIVOT!F73</f>
        <v>1722</v>
      </c>
      <c r="W24" s="44">
        <f>PIVOT!G73</f>
        <v>7230</v>
      </c>
      <c r="X24" s="21"/>
      <c r="Y24" s="21"/>
      <c r="Z24" s="21"/>
    </row>
    <row r="25" spans="1:26" x14ac:dyDescent="0.25">
      <c r="A25" s="21"/>
      <c r="B25" s="21"/>
      <c r="C25" s="21"/>
      <c r="D25" s="21"/>
      <c r="E25" s="21"/>
      <c r="F25" s="21"/>
      <c r="G25" s="21"/>
      <c r="H25" s="21"/>
      <c r="I25" s="21"/>
      <c r="J25" s="21"/>
      <c r="K25" s="21"/>
      <c r="L25" s="21"/>
      <c r="M25" s="21"/>
      <c r="N25" s="21"/>
      <c r="O25" s="21"/>
      <c r="P25" s="21"/>
      <c r="Q25" s="42" t="str">
        <f>PIVOT!A74</f>
        <v>C0015</v>
      </c>
      <c r="R25" s="43">
        <f>PIVOT!B74</f>
        <v>1138</v>
      </c>
      <c r="S25" s="43">
        <f>PIVOT!C74</f>
        <v>1898</v>
      </c>
      <c r="T25" s="43">
        <f>PIVOT!D74</f>
        <v>1482</v>
      </c>
      <c r="U25" s="43">
        <f>PIVOT!E74</f>
        <v>846</v>
      </c>
      <c r="V25" s="43">
        <f>PIVOT!F74</f>
        <v>1154</v>
      </c>
      <c r="W25" s="44">
        <f>PIVOT!G74</f>
        <v>6518</v>
      </c>
      <c r="X25" s="21"/>
      <c r="Y25" s="21"/>
      <c r="Z25" s="21"/>
    </row>
    <row r="26" spans="1:26" x14ac:dyDescent="0.25">
      <c r="A26" s="21"/>
      <c r="B26" s="21"/>
      <c r="C26" s="21"/>
      <c r="D26" s="21"/>
      <c r="E26" s="21"/>
      <c r="F26" s="21"/>
      <c r="G26" s="21"/>
      <c r="H26" s="21"/>
      <c r="I26" s="21"/>
      <c r="J26" s="21"/>
      <c r="K26" s="21"/>
      <c r="L26" s="21"/>
      <c r="M26" s="21"/>
      <c r="N26" s="21"/>
      <c r="O26" s="21"/>
      <c r="P26" s="21"/>
      <c r="Q26" s="39" t="str">
        <f>PIVOT!A75</f>
        <v>Columbus</v>
      </c>
      <c r="R26" s="43"/>
      <c r="S26" s="43"/>
      <c r="T26" s="43"/>
      <c r="U26" s="43"/>
      <c r="V26" s="43"/>
      <c r="W26" s="44"/>
      <c r="X26" s="21"/>
      <c r="Y26" s="21"/>
      <c r="Z26" s="21"/>
    </row>
    <row r="27" spans="1:26" x14ac:dyDescent="0.25">
      <c r="A27" s="21"/>
      <c r="B27" s="21"/>
      <c r="C27" s="21"/>
      <c r="D27" s="21"/>
      <c r="E27" s="21"/>
      <c r="F27" s="21"/>
      <c r="G27" s="21"/>
      <c r="H27" s="21"/>
      <c r="I27" s="21"/>
      <c r="J27" s="21"/>
      <c r="K27" s="21"/>
      <c r="L27" s="21"/>
      <c r="M27" s="21"/>
      <c r="N27" s="21"/>
      <c r="O27" s="21"/>
      <c r="P27" s="21"/>
      <c r="Q27" s="42" t="str">
        <f>PIVOT!A76</f>
        <v>C0001</v>
      </c>
      <c r="R27" s="43">
        <f>PIVOT!B76</f>
        <v>1655</v>
      </c>
      <c r="S27" s="43">
        <f>PIVOT!C76</f>
        <v>805</v>
      </c>
      <c r="T27" s="43">
        <f>PIVOT!D76</f>
        <v>2263</v>
      </c>
      <c r="U27" s="43">
        <f>PIVOT!E76</f>
        <v>987</v>
      </c>
      <c r="V27" s="43">
        <f>PIVOT!F76</f>
        <v>1075</v>
      </c>
      <c r="W27" s="44">
        <f>PIVOT!G76</f>
        <v>6785</v>
      </c>
      <c r="X27" s="21"/>
      <c r="Y27" s="21"/>
      <c r="Z27" s="21"/>
    </row>
    <row r="28" spans="1:26" x14ac:dyDescent="0.25">
      <c r="A28" s="21"/>
      <c r="B28" s="21"/>
      <c r="C28" s="21"/>
      <c r="D28" s="21"/>
      <c r="E28" s="21"/>
      <c r="F28" s="21"/>
      <c r="G28" s="21"/>
      <c r="H28" s="21"/>
      <c r="I28" s="21"/>
      <c r="J28" s="21"/>
      <c r="K28" s="21"/>
      <c r="L28" s="21"/>
      <c r="M28" s="21"/>
      <c r="N28" s="21"/>
      <c r="O28" s="21"/>
      <c r="P28" s="21"/>
      <c r="Q28" s="42" t="str">
        <f>PIVOT!A77</f>
        <v>C0005</v>
      </c>
      <c r="R28" s="43">
        <f>PIVOT!B77</f>
        <v>1104</v>
      </c>
      <c r="S28" s="43">
        <f>PIVOT!C77</f>
        <v>2280</v>
      </c>
      <c r="T28" s="43">
        <f>PIVOT!D77</f>
        <v>1445</v>
      </c>
      <c r="U28" s="43">
        <f>PIVOT!E77</f>
        <v>1722</v>
      </c>
      <c r="V28" s="43">
        <f>PIVOT!F77</f>
        <v>1196</v>
      </c>
      <c r="W28" s="44">
        <f>PIVOT!G77</f>
        <v>7747</v>
      </c>
      <c r="X28" s="21"/>
      <c r="Y28" s="21"/>
      <c r="Z28" s="21"/>
    </row>
    <row r="29" spans="1:26" x14ac:dyDescent="0.25">
      <c r="A29" s="21"/>
      <c r="B29" s="21"/>
      <c r="C29" s="21"/>
      <c r="D29" s="21"/>
      <c r="E29" s="21"/>
      <c r="F29" s="21"/>
      <c r="G29" s="21"/>
      <c r="H29" s="21"/>
      <c r="I29" s="21"/>
      <c r="J29" s="21"/>
      <c r="K29" s="21"/>
      <c r="L29" s="21"/>
      <c r="M29" s="21"/>
      <c r="N29" s="21"/>
      <c r="O29" s="21"/>
      <c r="P29" s="21"/>
      <c r="Q29" s="42" t="str">
        <f>PIVOT!A78</f>
        <v>C0006</v>
      </c>
      <c r="R29" s="43">
        <f>PIVOT!B78</f>
        <v>372</v>
      </c>
      <c r="S29" s="43">
        <f>PIVOT!C78</f>
        <v>1818</v>
      </c>
      <c r="T29" s="43">
        <f>PIVOT!D78</f>
        <v>1346</v>
      </c>
      <c r="U29" s="43">
        <f>PIVOT!E78</f>
        <v>1156</v>
      </c>
      <c r="V29" s="43">
        <f>PIVOT!F78</f>
        <v>1484</v>
      </c>
      <c r="W29" s="44">
        <f>PIVOT!G78</f>
        <v>6176</v>
      </c>
      <c r="X29" s="21"/>
      <c r="Y29" s="21"/>
      <c r="Z29" s="21"/>
    </row>
    <row r="30" spans="1:26" x14ac:dyDescent="0.25">
      <c r="A30" s="21"/>
      <c r="B30" s="21"/>
      <c r="C30" s="21"/>
      <c r="D30" s="21"/>
      <c r="E30" s="21"/>
      <c r="F30" s="21"/>
      <c r="G30" s="21"/>
      <c r="H30" s="21"/>
      <c r="I30" s="21"/>
      <c r="J30" s="21"/>
      <c r="K30" s="21"/>
      <c r="L30" s="21"/>
      <c r="M30" s="21"/>
      <c r="N30" s="21"/>
      <c r="O30" s="21"/>
      <c r="P30" s="21"/>
      <c r="Q30" s="42" t="str">
        <f>PIVOT!A79</f>
        <v>C0009</v>
      </c>
      <c r="R30" s="43">
        <f>PIVOT!B79</f>
        <v>1415</v>
      </c>
      <c r="S30" s="43">
        <f>PIVOT!C79</f>
        <v>1271</v>
      </c>
      <c r="T30" s="43">
        <f>PIVOT!D79</f>
        <v>1214</v>
      </c>
      <c r="U30" s="43">
        <f>PIVOT!E79</f>
        <v>1135</v>
      </c>
      <c r="V30" s="43">
        <f>PIVOT!F79</f>
        <v>1566</v>
      </c>
      <c r="W30" s="44">
        <f>PIVOT!G79</f>
        <v>6601</v>
      </c>
      <c r="X30" s="21"/>
      <c r="Y30" s="21"/>
      <c r="Z30" s="21"/>
    </row>
    <row r="31" spans="1:26" x14ac:dyDescent="0.25">
      <c r="A31" s="21"/>
      <c r="B31" s="21"/>
      <c r="C31" s="21"/>
      <c r="D31" s="21"/>
      <c r="E31" s="21"/>
      <c r="F31" s="21"/>
      <c r="G31" s="21"/>
      <c r="H31" s="21"/>
      <c r="I31" s="21"/>
      <c r="J31" s="21"/>
      <c r="K31" s="21"/>
      <c r="L31" s="21"/>
      <c r="M31" s="21"/>
      <c r="N31" s="21"/>
      <c r="O31" s="21"/>
      <c r="P31" s="21"/>
      <c r="Q31" s="45" t="str">
        <f>PIVOT!A80</f>
        <v>C0014</v>
      </c>
      <c r="R31" s="46">
        <f>PIVOT!B80</f>
        <v>1362</v>
      </c>
      <c r="S31" s="46">
        <f>PIVOT!C80</f>
        <v>1363</v>
      </c>
      <c r="T31" s="46">
        <f>PIVOT!D80</f>
        <v>1152</v>
      </c>
      <c r="U31" s="46">
        <f>PIVOT!E80</f>
        <v>777</v>
      </c>
      <c r="V31" s="46">
        <f>PIVOT!F80</f>
        <v>750</v>
      </c>
      <c r="W31" s="47">
        <f>PIVOT!G80</f>
        <v>5404</v>
      </c>
      <c r="X31" s="21"/>
      <c r="Y31" s="21"/>
      <c r="Z31" s="21"/>
    </row>
    <row r="32" spans="1:26" x14ac:dyDescent="0.25">
      <c r="A32" s="21"/>
      <c r="B32" s="21"/>
      <c r="C32" s="21"/>
      <c r="D32" s="21"/>
      <c r="E32" s="21"/>
      <c r="F32" s="21"/>
      <c r="G32" s="21"/>
      <c r="H32" s="21"/>
      <c r="I32" s="21"/>
      <c r="J32" s="21"/>
      <c r="K32" s="21"/>
      <c r="L32" s="21"/>
      <c r="M32" s="21"/>
      <c r="N32" s="21"/>
      <c r="O32" s="21"/>
      <c r="P32" s="21"/>
      <c r="Q32" s="50"/>
      <c r="R32" s="50"/>
      <c r="S32" s="50"/>
      <c r="T32" s="50"/>
      <c r="U32" s="50"/>
      <c r="V32" s="50"/>
      <c r="W32" s="50"/>
      <c r="X32" s="21"/>
      <c r="Y32" s="21"/>
      <c r="Z32" s="21"/>
    </row>
    <row r="33" spans="1:26" x14ac:dyDescent="0.25">
      <c r="A33" s="21"/>
      <c r="B33" s="21"/>
      <c r="C33" s="21"/>
      <c r="D33" s="21"/>
      <c r="E33" s="21"/>
      <c r="F33" s="21"/>
      <c r="G33" s="21"/>
      <c r="H33" s="21"/>
      <c r="I33" s="21"/>
      <c r="J33" s="21"/>
      <c r="K33" s="21"/>
      <c r="L33" s="21"/>
      <c r="M33" s="21"/>
      <c r="N33" s="21"/>
      <c r="O33" s="21"/>
      <c r="P33" s="21"/>
      <c r="Q33" s="51"/>
      <c r="R33" s="51"/>
      <c r="S33" s="51"/>
      <c r="T33" s="51"/>
      <c r="U33" s="51"/>
      <c r="V33" s="51"/>
      <c r="W33" s="51"/>
      <c r="X33" s="21"/>
      <c r="Y33" s="21"/>
      <c r="Z33" s="21"/>
    </row>
    <row r="34" spans="1:26" x14ac:dyDescent="0.25">
      <c r="A34" s="21"/>
      <c r="B34" s="21"/>
      <c r="C34" s="21"/>
      <c r="D34" s="21"/>
      <c r="E34" s="21"/>
      <c r="F34" s="21"/>
      <c r="G34" s="21"/>
      <c r="H34" s="21"/>
      <c r="I34" s="21"/>
      <c r="J34" s="21"/>
      <c r="K34" s="21"/>
      <c r="L34" s="21"/>
      <c r="M34" s="21"/>
      <c r="N34" s="21"/>
      <c r="O34" s="21"/>
      <c r="P34" s="21"/>
      <c r="Q34" s="51"/>
      <c r="R34" s="51"/>
      <c r="S34" s="51"/>
      <c r="T34" s="51"/>
      <c r="U34" s="51"/>
      <c r="V34" s="51"/>
      <c r="W34" s="51"/>
      <c r="X34" s="21"/>
      <c r="Y34" s="21"/>
      <c r="Z34" s="21"/>
    </row>
    <row r="35" spans="1:26" x14ac:dyDescent="0.25">
      <c r="A35" s="21"/>
      <c r="B35" s="21"/>
      <c r="C35" s="21"/>
      <c r="D35" s="21"/>
      <c r="E35" s="21"/>
      <c r="F35" s="21"/>
      <c r="G35" s="21"/>
      <c r="H35" s="21"/>
      <c r="I35" s="21"/>
      <c r="J35" s="21"/>
      <c r="K35" s="21"/>
      <c r="L35" s="21"/>
      <c r="M35" s="21"/>
      <c r="N35" s="21"/>
      <c r="O35" s="21"/>
      <c r="P35" s="21"/>
      <c r="Q35" s="51"/>
      <c r="R35" s="51"/>
      <c r="S35" s="51"/>
      <c r="T35" s="51"/>
      <c r="U35" s="51"/>
      <c r="V35" s="51"/>
      <c r="W35" s="51"/>
      <c r="X35" s="21"/>
      <c r="Y35" s="21"/>
      <c r="Z35" s="21"/>
    </row>
    <row r="36" spans="1:26"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sheetData>
  <mergeCells count="1">
    <mergeCell ref="Q32:W35"/>
  </mergeCells>
  <conditionalFormatting sqref="R14:V31">
    <cfRule type="dataBar" priority="2">
      <dataBar>
        <cfvo type="num" val="0"/>
        <cfvo type="formula" val="MAX($R$15:$V$31)*2"/>
        <color theme="1" tint="0.249977111117893"/>
      </dataBar>
      <extLst>
        <ext xmlns:x14="http://schemas.microsoft.com/office/spreadsheetml/2009/9/main" uri="{B025F937-C7B1-47D3-B67F-A62EFF666E3E}">
          <x14:id>{E8EFC20B-0547-4B81-8E5B-88F32C1ADAC9}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A220E5F6-9B7F-4908-83E6-A8E5C7CA94CB}">
            <xm:f>R$13=PIVOT!$A$40</xm:f>
            <x14:dxf>
              <fill>
                <patternFill>
                  <bgColor theme="8" tint="0.39994506668294322"/>
                </patternFill>
              </fill>
              <border>
                <left style="thin">
                  <color theme="1" tint="0.24994659260841701"/>
                </left>
                <right style="thin">
                  <color theme="1" tint="0.24994659260841701"/>
                </right>
                <vertical/>
                <horizontal/>
              </border>
            </x14:dxf>
          </x14:cfRule>
          <xm:sqref>R13:V31</xm:sqref>
        </x14:conditionalFormatting>
        <x14:conditionalFormatting xmlns:xm="http://schemas.microsoft.com/office/excel/2006/main">
          <x14:cfRule type="dataBar" id="{E8EFC20B-0547-4B81-8E5B-88F32C1ADAC9}">
            <x14:dataBar minLength="0" maxLength="100" gradient="0">
              <x14:cfvo type="num">
                <xm:f>0</xm:f>
              </x14:cfvo>
              <x14:cfvo type="formula">
                <xm:f>MAX($R$15:$V$31)*2</xm:f>
              </x14:cfvo>
              <x14:negativeFillColor rgb="FFFF0000"/>
              <x14:axisColor rgb="FF000000"/>
            </x14:dataBar>
          </x14:cfRule>
          <xm:sqref>R14:V31</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96274-68EC-448E-86E9-EF352A0F8D84}">
  <dimension ref="A1:K80"/>
  <sheetViews>
    <sheetView workbookViewId="0">
      <selection activeCell="P25" sqref="P25"/>
    </sheetView>
  </sheetViews>
  <sheetFormatPr defaultRowHeight="13.8" x14ac:dyDescent="0.25"/>
  <cols>
    <col min="1" max="1" width="13.33203125" bestFit="1" customWidth="1"/>
    <col min="2" max="2" width="10.5546875" bestFit="1" customWidth="1"/>
    <col min="3" max="4" width="11.5546875" bestFit="1" customWidth="1"/>
    <col min="5" max="5" width="7.88671875" bestFit="1" customWidth="1"/>
    <col min="6" max="6" width="6.5546875" bestFit="1" customWidth="1"/>
    <col min="7" max="7" width="13.33203125" bestFit="1" customWidth="1"/>
    <col min="8" max="8" width="10.5546875" bestFit="1" customWidth="1"/>
    <col min="10" max="10" width="8.88671875" customWidth="1"/>
  </cols>
  <sheetData>
    <row r="1" spans="1:8" x14ac:dyDescent="0.25">
      <c r="A1" t="s">
        <v>1095</v>
      </c>
    </row>
    <row r="3" spans="1:8" x14ac:dyDescent="0.25">
      <c r="A3" t="s">
        <v>1053</v>
      </c>
      <c r="B3" t="s">
        <v>1058</v>
      </c>
      <c r="C3" t="s">
        <v>1061</v>
      </c>
      <c r="D3" t="s">
        <v>1062</v>
      </c>
      <c r="E3" t="s">
        <v>1068</v>
      </c>
    </row>
    <row r="4" spans="1:8" x14ac:dyDescent="0.25">
      <c r="A4" s="23">
        <v>1000</v>
      </c>
      <c r="B4" s="24">
        <v>96623</v>
      </c>
      <c r="C4" s="23">
        <v>89850</v>
      </c>
      <c r="D4" s="25">
        <v>3.8854000000000033</v>
      </c>
      <c r="E4" s="26">
        <v>307</v>
      </c>
    </row>
    <row r="7" spans="1:8" x14ac:dyDescent="0.25">
      <c r="A7" t="s">
        <v>1053</v>
      </c>
      <c r="B7" t="s">
        <v>1058</v>
      </c>
      <c r="C7" t="s">
        <v>1061</v>
      </c>
      <c r="D7" t="s">
        <v>1062</v>
      </c>
      <c r="E7" t="s">
        <v>1068</v>
      </c>
      <c r="H7" t="s">
        <v>1093</v>
      </c>
    </row>
    <row r="8" spans="1:8" x14ac:dyDescent="0.25">
      <c r="A8" s="23">
        <v>189</v>
      </c>
      <c r="B8" s="24">
        <v>18415</v>
      </c>
      <c r="C8" s="23">
        <v>16834</v>
      </c>
      <c r="D8" s="25">
        <v>3.9227513227513247</v>
      </c>
      <c r="E8" s="26">
        <v>60</v>
      </c>
    </row>
    <row r="10" spans="1:8" x14ac:dyDescent="0.25">
      <c r="A10" t="s">
        <v>1094</v>
      </c>
    </row>
    <row r="13" spans="1:8" x14ac:dyDescent="0.25">
      <c r="A13" s="27" t="s">
        <v>1096</v>
      </c>
      <c r="B13" t="s">
        <v>1053</v>
      </c>
      <c r="C13" t="s">
        <v>1110</v>
      </c>
      <c r="H13" t="s">
        <v>1093</v>
      </c>
    </row>
    <row r="14" spans="1:8" x14ac:dyDescent="0.25">
      <c r="A14" s="32" t="s">
        <v>1098</v>
      </c>
      <c r="B14" s="23">
        <v>16</v>
      </c>
      <c r="C14" s="23">
        <v>16</v>
      </c>
      <c r="G14" s="27" t="s">
        <v>1096</v>
      </c>
      <c r="H14" t="s">
        <v>1053</v>
      </c>
    </row>
    <row r="15" spans="1:8" x14ac:dyDescent="0.25">
      <c r="A15" s="32" t="s">
        <v>1099</v>
      </c>
      <c r="B15" s="23">
        <v>14</v>
      </c>
      <c r="C15" s="23">
        <v>14</v>
      </c>
      <c r="G15" s="32" t="s">
        <v>1112</v>
      </c>
      <c r="H15" s="23">
        <v>30</v>
      </c>
    </row>
    <row r="16" spans="1:8" x14ac:dyDescent="0.25">
      <c r="A16" s="32" t="s">
        <v>1100</v>
      </c>
      <c r="B16" s="23">
        <v>26</v>
      </c>
      <c r="C16" s="23">
        <v>26</v>
      </c>
      <c r="G16" s="32" t="s">
        <v>1116</v>
      </c>
      <c r="H16" s="23">
        <v>13</v>
      </c>
    </row>
    <row r="17" spans="1:11" x14ac:dyDescent="0.25">
      <c r="A17" s="32" t="s">
        <v>1101</v>
      </c>
      <c r="B17" s="23">
        <v>29</v>
      </c>
      <c r="C17" s="23">
        <v>29</v>
      </c>
      <c r="G17" s="32" t="s">
        <v>1117</v>
      </c>
      <c r="H17" s="23">
        <v>23</v>
      </c>
    </row>
    <row r="18" spans="1:11" x14ac:dyDescent="0.25">
      <c r="A18" s="32" t="s">
        <v>1102</v>
      </c>
      <c r="B18" s="23">
        <v>17</v>
      </c>
      <c r="C18" s="23">
        <v>17</v>
      </c>
      <c r="G18" s="32" t="s">
        <v>1115</v>
      </c>
      <c r="H18" s="23">
        <v>23</v>
      </c>
    </row>
    <row r="19" spans="1:11" x14ac:dyDescent="0.25">
      <c r="A19" s="32" t="s">
        <v>1103</v>
      </c>
      <c r="B19" s="23">
        <v>15</v>
      </c>
      <c r="C19" s="23">
        <v>15</v>
      </c>
      <c r="G19" s="32" t="s">
        <v>1111</v>
      </c>
      <c r="H19" s="23">
        <v>24</v>
      </c>
    </row>
    <row r="20" spans="1:11" x14ac:dyDescent="0.25">
      <c r="A20" s="32" t="s">
        <v>1104</v>
      </c>
      <c r="B20" s="23">
        <v>15</v>
      </c>
      <c r="C20" s="23">
        <v>15</v>
      </c>
      <c r="G20" s="32" t="s">
        <v>1113</v>
      </c>
      <c r="H20" s="23">
        <v>40</v>
      </c>
    </row>
    <row r="21" spans="1:11" x14ac:dyDescent="0.25">
      <c r="A21" s="32" t="s">
        <v>1105</v>
      </c>
      <c r="B21" s="23">
        <v>7</v>
      </c>
      <c r="C21" s="23">
        <v>7</v>
      </c>
      <c r="G21" s="32" t="s">
        <v>1114</v>
      </c>
      <c r="H21" s="23">
        <v>36</v>
      </c>
    </row>
    <row r="22" spans="1:11" x14ac:dyDescent="0.25">
      <c r="A22" s="32" t="s">
        <v>1106</v>
      </c>
      <c r="B22" s="23">
        <v>11</v>
      </c>
      <c r="C22" s="23">
        <v>11</v>
      </c>
      <c r="G22" s="32" t="s">
        <v>1097</v>
      </c>
      <c r="H22" s="23">
        <v>189</v>
      </c>
    </row>
    <row r="23" spans="1:11" x14ac:dyDescent="0.25">
      <c r="A23" s="32" t="s">
        <v>1107</v>
      </c>
      <c r="B23" s="23">
        <v>24</v>
      </c>
      <c r="C23" s="23">
        <v>24</v>
      </c>
    </row>
    <row r="24" spans="1:11" x14ac:dyDescent="0.25">
      <c r="A24" s="32" t="s">
        <v>1108</v>
      </c>
      <c r="B24" s="23">
        <v>9</v>
      </c>
      <c r="C24" s="23">
        <v>9</v>
      </c>
    </row>
    <row r="25" spans="1:11" x14ac:dyDescent="0.25">
      <c r="A25" s="32" t="s">
        <v>1109</v>
      </c>
      <c r="B25" s="23">
        <v>6</v>
      </c>
      <c r="C25" s="23">
        <v>6</v>
      </c>
    </row>
    <row r="26" spans="1:11" x14ac:dyDescent="0.25">
      <c r="A26" s="32" t="s">
        <v>1097</v>
      </c>
      <c r="B26" s="23">
        <v>189</v>
      </c>
      <c r="C26" s="23">
        <v>189</v>
      </c>
    </row>
    <row r="27" spans="1:11" x14ac:dyDescent="0.25">
      <c r="E27" t="s">
        <v>1122</v>
      </c>
      <c r="H27" t="s">
        <v>1124</v>
      </c>
      <c r="I27" t="str">
        <f>A40</f>
        <v>R01</v>
      </c>
    </row>
    <row r="29" spans="1:11" x14ac:dyDescent="0.25">
      <c r="A29" s="27" t="s">
        <v>1096</v>
      </c>
      <c r="B29" t="s">
        <v>1053</v>
      </c>
      <c r="C29" t="s">
        <v>1058</v>
      </c>
      <c r="E29" t="s">
        <v>1118</v>
      </c>
      <c r="F29" t="s">
        <v>1119</v>
      </c>
      <c r="G29" t="s">
        <v>1120</v>
      </c>
      <c r="H29" t="s">
        <v>1121</v>
      </c>
      <c r="I29" t="s">
        <v>1123</v>
      </c>
      <c r="K29" s="33"/>
    </row>
    <row r="30" spans="1:11" x14ac:dyDescent="0.25">
      <c r="A30" s="32" t="s">
        <v>11</v>
      </c>
      <c r="B30" s="23">
        <v>189</v>
      </c>
      <c r="C30" s="24">
        <v>18415</v>
      </c>
      <c r="E30" t="str">
        <f>A30</f>
        <v>R01</v>
      </c>
      <c r="F30">
        <f t="shared" ref="F30:G34" si="0">B30</f>
        <v>189</v>
      </c>
      <c r="G30" s="34">
        <f t="shared" si="0"/>
        <v>18415</v>
      </c>
      <c r="H30">
        <f>IF(E30=$I$27,F30,NA())</f>
        <v>189</v>
      </c>
      <c r="I30">
        <f>IF(E30=$I$27,G30,NA())</f>
        <v>18415</v>
      </c>
    </row>
    <row r="31" spans="1:11" x14ac:dyDescent="0.25">
      <c r="A31" s="32" t="s">
        <v>9</v>
      </c>
      <c r="B31" s="23">
        <v>218</v>
      </c>
      <c r="C31" s="24">
        <v>20581</v>
      </c>
      <c r="E31" t="str">
        <f t="shared" ref="E31:E34" si="1">A31</f>
        <v>R02</v>
      </c>
      <c r="F31">
        <f t="shared" si="0"/>
        <v>218</v>
      </c>
      <c r="G31" s="34">
        <f t="shared" si="0"/>
        <v>20581</v>
      </c>
      <c r="H31" t="e">
        <f t="shared" ref="H31:H34" si="2">IF(E31=$I$27,F31,NA())</f>
        <v>#N/A</v>
      </c>
      <c r="I31" t="e">
        <f t="shared" ref="I31:I34" si="3">IF(E31=$I$27,G31,NA())</f>
        <v>#N/A</v>
      </c>
    </row>
    <row r="32" spans="1:11" x14ac:dyDescent="0.25">
      <c r="A32" s="32" t="s">
        <v>6</v>
      </c>
      <c r="B32" s="23">
        <v>207</v>
      </c>
      <c r="C32" s="24">
        <v>20872</v>
      </c>
      <c r="E32" t="str">
        <f t="shared" si="1"/>
        <v>R03</v>
      </c>
      <c r="F32">
        <f t="shared" si="0"/>
        <v>207</v>
      </c>
      <c r="G32" s="34">
        <f t="shared" si="0"/>
        <v>20872</v>
      </c>
      <c r="H32" t="e">
        <f t="shared" si="2"/>
        <v>#N/A</v>
      </c>
      <c r="I32" t="e">
        <f t="shared" si="3"/>
        <v>#N/A</v>
      </c>
    </row>
    <row r="33" spans="1:9" x14ac:dyDescent="0.25">
      <c r="A33" s="32" t="s">
        <v>13</v>
      </c>
      <c r="B33" s="23">
        <v>186</v>
      </c>
      <c r="C33" s="24">
        <v>16651</v>
      </c>
      <c r="E33" t="str">
        <f t="shared" si="1"/>
        <v>R04</v>
      </c>
      <c r="F33">
        <f t="shared" si="0"/>
        <v>186</v>
      </c>
      <c r="G33" s="34">
        <f t="shared" si="0"/>
        <v>16651</v>
      </c>
      <c r="H33" t="e">
        <f t="shared" si="2"/>
        <v>#N/A</v>
      </c>
      <c r="I33" t="e">
        <f t="shared" si="3"/>
        <v>#N/A</v>
      </c>
    </row>
    <row r="34" spans="1:9" x14ac:dyDescent="0.25">
      <c r="A34" s="32" t="s">
        <v>10</v>
      </c>
      <c r="B34" s="23">
        <v>200</v>
      </c>
      <c r="C34" s="24">
        <v>20104</v>
      </c>
      <c r="E34" t="str">
        <f t="shared" si="1"/>
        <v>R05</v>
      </c>
      <c r="F34">
        <f t="shared" si="0"/>
        <v>200</v>
      </c>
      <c r="G34" s="34">
        <f t="shared" si="0"/>
        <v>20104</v>
      </c>
      <c r="H34" t="e">
        <f t="shared" si="2"/>
        <v>#N/A</v>
      </c>
      <c r="I34" t="e">
        <f t="shared" si="3"/>
        <v>#N/A</v>
      </c>
    </row>
    <row r="35" spans="1:9" x14ac:dyDescent="0.25">
      <c r="A35" s="32" t="s">
        <v>1097</v>
      </c>
      <c r="B35" s="23">
        <v>1000</v>
      </c>
      <c r="C35" s="24">
        <v>96623</v>
      </c>
      <c r="G35" s="32"/>
      <c r="H35" s="23"/>
      <c r="I35" s="24"/>
    </row>
    <row r="36" spans="1:9" x14ac:dyDescent="0.25">
      <c r="G36" s="32"/>
      <c r="H36" s="23"/>
      <c r="I36" s="24"/>
    </row>
    <row r="39" spans="1:9" x14ac:dyDescent="0.25">
      <c r="A39" s="27" t="s">
        <v>1096</v>
      </c>
    </row>
    <row r="40" spans="1:9" x14ac:dyDescent="0.25">
      <c r="A40" s="33" t="s">
        <v>11</v>
      </c>
    </row>
    <row r="43" spans="1:9" x14ac:dyDescent="0.25">
      <c r="A43" s="27" t="s">
        <v>1053</v>
      </c>
      <c r="B43" s="27" t="s">
        <v>1125</v>
      </c>
    </row>
    <row r="44" spans="1:9" x14ac:dyDescent="0.25">
      <c r="A44" s="27" t="s">
        <v>1096</v>
      </c>
      <c r="B44" t="s">
        <v>999</v>
      </c>
      <c r="C44" t="s">
        <v>998</v>
      </c>
      <c r="D44" t="s">
        <v>1097</v>
      </c>
    </row>
    <row r="45" spans="1:9" x14ac:dyDescent="0.25">
      <c r="A45" s="32" t="s">
        <v>1002</v>
      </c>
      <c r="B45" s="23">
        <v>144</v>
      </c>
      <c r="C45" s="23">
        <v>132</v>
      </c>
      <c r="D45" s="23">
        <v>276</v>
      </c>
    </row>
    <row r="46" spans="1:9" x14ac:dyDescent="0.25">
      <c r="A46" s="32" t="s">
        <v>1001</v>
      </c>
      <c r="B46" s="23">
        <v>326</v>
      </c>
      <c r="C46" s="23">
        <v>63</v>
      </c>
      <c r="D46" s="23">
        <v>389</v>
      </c>
    </row>
    <row r="47" spans="1:9" x14ac:dyDescent="0.25">
      <c r="A47" s="32" t="s">
        <v>1000</v>
      </c>
      <c r="B47" s="23">
        <v>129</v>
      </c>
      <c r="C47" s="23">
        <v>206</v>
      </c>
      <c r="D47" s="23">
        <v>335</v>
      </c>
    </row>
    <row r="48" spans="1:9" x14ac:dyDescent="0.25">
      <c r="A48" s="32" t="s">
        <v>1097</v>
      </c>
      <c r="B48" s="23">
        <v>599</v>
      </c>
      <c r="C48" s="23">
        <v>401</v>
      </c>
      <c r="D48" s="23">
        <v>1000</v>
      </c>
    </row>
    <row r="51" spans="1:7" x14ac:dyDescent="0.25">
      <c r="A51" s="27" t="s">
        <v>1096</v>
      </c>
      <c r="B51" t="s">
        <v>1053</v>
      </c>
    </row>
    <row r="52" spans="1:7" x14ac:dyDescent="0.25">
      <c r="A52" s="32">
        <v>1</v>
      </c>
      <c r="B52" s="23">
        <v>1</v>
      </c>
    </row>
    <row r="53" spans="1:7" x14ac:dyDescent="0.25">
      <c r="A53" s="32">
        <v>2</v>
      </c>
      <c r="B53" s="23">
        <v>9</v>
      </c>
    </row>
    <row r="54" spans="1:7" x14ac:dyDescent="0.25">
      <c r="A54" s="32">
        <v>3</v>
      </c>
      <c r="B54" s="23">
        <v>31</v>
      </c>
    </row>
    <row r="55" spans="1:7" x14ac:dyDescent="0.25">
      <c r="A55" s="32">
        <v>4</v>
      </c>
      <c r="B55" s="23">
        <v>88</v>
      </c>
    </row>
    <row r="56" spans="1:7" x14ac:dyDescent="0.25">
      <c r="A56" s="32">
        <v>5</v>
      </c>
      <c r="B56" s="23">
        <v>60</v>
      </c>
    </row>
    <row r="57" spans="1:7" x14ac:dyDescent="0.25">
      <c r="A57" s="32" t="s">
        <v>1097</v>
      </c>
      <c r="B57" s="23">
        <v>189</v>
      </c>
    </row>
    <row r="61" spans="1:7" x14ac:dyDescent="0.25">
      <c r="A61" s="27" t="s">
        <v>1058</v>
      </c>
      <c r="B61" s="27" t="s">
        <v>1125</v>
      </c>
    </row>
    <row r="62" spans="1:7" x14ac:dyDescent="0.25">
      <c r="A62" s="27" t="s">
        <v>1096</v>
      </c>
      <c r="B62" t="s">
        <v>11</v>
      </c>
      <c r="C62" t="s">
        <v>9</v>
      </c>
      <c r="D62" t="s">
        <v>6</v>
      </c>
      <c r="E62" t="s">
        <v>13</v>
      </c>
      <c r="F62" t="s">
        <v>10</v>
      </c>
      <c r="G62" t="s">
        <v>1097</v>
      </c>
    </row>
    <row r="63" spans="1:7" x14ac:dyDescent="0.25">
      <c r="A63" s="32" t="s">
        <v>1002</v>
      </c>
    </row>
    <row r="64" spans="1:7" x14ac:dyDescent="0.25">
      <c r="A64" s="35" t="s">
        <v>20</v>
      </c>
      <c r="B64" s="24">
        <v>891</v>
      </c>
      <c r="C64" s="24">
        <v>1332</v>
      </c>
      <c r="D64" s="24">
        <v>1282</v>
      </c>
      <c r="E64" s="24">
        <v>739</v>
      </c>
      <c r="F64" s="24">
        <v>560</v>
      </c>
      <c r="G64" s="24">
        <v>4804</v>
      </c>
    </row>
    <row r="65" spans="1:7" x14ac:dyDescent="0.25">
      <c r="A65" s="35" t="s">
        <v>12</v>
      </c>
      <c r="B65" s="24">
        <v>1991</v>
      </c>
      <c r="C65" s="24">
        <v>1886</v>
      </c>
      <c r="D65" s="24">
        <v>1206</v>
      </c>
      <c r="E65" s="24">
        <v>884</v>
      </c>
      <c r="F65" s="24">
        <v>1722</v>
      </c>
      <c r="G65" s="24">
        <v>7689</v>
      </c>
    </row>
    <row r="66" spans="1:7" x14ac:dyDescent="0.25">
      <c r="A66" s="35" t="s">
        <v>8</v>
      </c>
      <c r="B66" s="24">
        <v>1163</v>
      </c>
      <c r="C66" s="24">
        <v>1180</v>
      </c>
      <c r="D66" s="24">
        <v>1616</v>
      </c>
      <c r="E66" s="24">
        <v>1043</v>
      </c>
      <c r="F66" s="24">
        <v>1747</v>
      </c>
      <c r="G66" s="24">
        <v>6749</v>
      </c>
    </row>
    <row r="67" spans="1:7" x14ac:dyDescent="0.25">
      <c r="A67" s="35" t="s">
        <v>16</v>
      </c>
      <c r="B67" s="24">
        <v>1438</v>
      </c>
      <c r="C67" s="24">
        <v>1616</v>
      </c>
      <c r="D67" s="24">
        <v>866</v>
      </c>
      <c r="E67" s="24">
        <v>829</v>
      </c>
      <c r="F67" s="24">
        <v>2070</v>
      </c>
      <c r="G67" s="24">
        <v>6819</v>
      </c>
    </row>
    <row r="68" spans="1:7" x14ac:dyDescent="0.25">
      <c r="A68" s="32" t="s">
        <v>1001</v>
      </c>
    </row>
    <row r="69" spans="1:7" x14ac:dyDescent="0.25">
      <c r="A69" s="35" t="s">
        <v>24</v>
      </c>
      <c r="B69" s="24">
        <v>1233</v>
      </c>
      <c r="C69" s="24">
        <v>223</v>
      </c>
      <c r="D69" s="24">
        <v>1680</v>
      </c>
      <c r="E69" s="24">
        <v>990</v>
      </c>
      <c r="F69" s="24">
        <v>1508</v>
      </c>
      <c r="G69" s="24">
        <v>5634</v>
      </c>
    </row>
    <row r="70" spans="1:7" x14ac:dyDescent="0.25">
      <c r="A70" s="35" t="s">
        <v>15</v>
      </c>
      <c r="B70" s="24">
        <v>1598</v>
      </c>
      <c r="C70" s="24">
        <v>1907</v>
      </c>
      <c r="D70" s="24">
        <v>869</v>
      </c>
      <c r="E70" s="24">
        <v>1426</v>
      </c>
      <c r="F70" s="24">
        <v>1416</v>
      </c>
      <c r="G70" s="24">
        <v>7216</v>
      </c>
    </row>
    <row r="71" spans="1:7" x14ac:dyDescent="0.25">
      <c r="A71" s="35" t="s">
        <v>5</v>
      </c>
      <c r="B71" s="24">
        <v>900</v>
      </c>
      <c r="C71" s="24">
        <v>1016</v>
      </c>
      <c r="D71" s="24">
        <v>960</v>
      </c>
      <c r="E71" s="24">
        <v>940</v>
      </c>
      <c r="F71" s="24">
        <v>1193</v>
      </c>
      <c r="G71" s="24">
        <v>5009</v>
      </c>
    </row>
    <row r="72" spans="1:7" x14ac:dyDescent="0.25">
      <c r="A72" s="35" t="s">
        <v>18</v>
      </c>
      <c r="B72" s="24">
        <v>900</v>
      </c>
      <c r="C72" s="24">
        <v>1470</v>
      </c>
      <c r="D72" s="24">
        <v>1617</v>
      </c>
      <c r="E72" s="24">
        <v>1314</v>
      </c>
      <c r="F72" s="24">
        <v>941</v>
      </c>
      <c r="G72" s="24">
        <v>6242</v>
      </c>
    </row>
    <row r="73" spans="1:7" x14ac:dyDescent="0.25">
      <c r="A73" s="35" t="s">
        <v>14</v>
      </c>
      <c r="B73" s="24">
        <v>1255</v>
      </c>
      <c r="C73" s="24">
        <v>516</v>
      </c>
      <c r="D73" s="24">
        <v>1874</v>
      </c>
      <c r="E73" s="24">
        <v>1863</v>
      </c>
      <c r="F73" s="24">
        <v>1722</v>
      </c>
      <c r="G73" s="24">
        <v>7230</v>
      </c>
    </row>
    <row r="74" spans="1:7" x14ac:dyDescent="0.25">
      <c r="A74" s="35" t="s">
        <v>19</v>
      </c>
      <c r="B74" s="24">
        <v>1138</v>
      </c>
      <c r="C74" s="24">
        <v>1898</v>
      </c>
      <c r="D74" s="24">
        <v>1482</v>
      </c>
      <c r="E74" s="24">
        <v>846</v>
      </c>
      <c r="F74" s="24">
        <v>1154</v>
      </c>
      <c r="G74" s="24">
        <v>6518</v>
      </c>
    </row>
    <row r="75" spans="1:7" x14ac:dyDescent="0.25">
      <c r="A75" s="32" t="s">
        <v>1000</v>
      </c>
    </row>
    <row r="76" spans="1:7" x14ac:dyDescent="0.25">
      <c r="A76" s="35" t="s">
        <v>17</v>
      </c>
      <c r="B76" s="24">
        <v>1655</v>
      </c>
      <c r="C76" s="24">
        <v>805</v>
      </c>
      <c r="D76" s="24">
        <v>2263</v>
      </c>
      <c r="E76" s="24">
        <v>987</v>
      </c>
      <c r="F76" s="24">
        <v>1075</v>
      </c>
      <c r="G76" s="24">
        <v>6785</v>
      </c>
    </row>
    <row r="77" spans="1:7" x14ac:dyDescent="0.25">
      <c r="A77" s="35" t="s">
        <v>23</v>
      </c>
      <c r="B77" s="24">
        <v>1104</v>
      </c>
      <c r="C77" s="24">
        <v>2280</v>
      </c>
      <c r="D77" s="24">
        <v>1445</v>
      </c>
      <c r="E77" s="24">
        <v>1722</v>
      </c>
      <c r="F77" s="24">
        <v>1196</v>
      </c>
      <c r="G77" s="24">
        <v>7747</v>
      </c>
    </row>
    <row r="78" spans="1:7" x14ac:dyDescent="0.25">
      <c r="A78" s="35" t="s">
        <v>7</v>
      </c>
      <c r="B78" s="24">
        <v>372</v>
      </c>
      <c r="C78" s="24">
        <v>1818</v>
      </c>
      <c r="D78" s="24">
        <v>1346</v>
      </c>
      <c r="E78" s="24">
        <v>1156</v>
      </c>
      <c r="F78" s="24">
        <v>1484</v>
      </c>
      <c r="G78" s="24">
        <v>6176</v>
      </c>
    </row>
    <row r="79" spans="1:7" x14ac:dyDescent="0.25">
      <c r="A79" s="35" t="s">
        <v>22</v>
      </c>
      <c r="B79" s="24">
        <v>1415</v>
      </c>
      <c r="C79" s="24">
        <v>1271</v>
      </c>
      <c r="D79" s="24">
        <v>1214</v>
      </c>
      <c r="E79" s="24">
        <v>1135</v>
      </c>
      <c r="F79" s="24">
        <v>1566</v>
      </c>
      <c r="G79" s="24">
        <v>6601</v>
      </c>
    </row>
    <row r="80" spans="1:7" x14ac:dyDescent="0.25">
      <c r="A80" s="35" t="s">
        <v>21</v>
      </c>
      <c r="B80" s="24">
        <v>1362</v>
      </c>
      <c r="C80" s="24">
        <v>1363</v>
      </c>
      <c r="D80" s="24">
        <v>1152</v>
      </c>
      <c r="E80" s="24">
        <v>777</v>
      </c>
      <c r="F80" s="24">
        <v>750</v>
      </c>
      <c r="G80" s="24">
        <v>5404</v>
      </c>
    </row>
  </sheetData>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customer centre report</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Abhishek Singh</cp:lastModifiedBy>
  <dcterms:created xsi:type="dcterms:W3CDTF">2021-03-14T20:21:32Z</dcterms:created>
  <dcterms:modified xsi:type="dcterms:W3CDTF">2026-07-11T08:02:24Z</dcterms:modified>
</cp:coreProperties>
</file>